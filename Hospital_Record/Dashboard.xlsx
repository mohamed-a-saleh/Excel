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ido1\Downloads\Compressed\PJ 05\"/>
    </mc:Choice>
  </mc:AlternateContent>
  <xr:revisionPtr revIDLastSave="0" documentId="8_{85BC4741-1BB1-4B99-B8B1-0DEB9FF2C5DB}" xr6:coauthVersionLast="47" xr6:coauthVersionMax="47" xr10:uidLastSave="{00000000-0000-0000-0000-000000000000}"/>
  <bookViews>
    <workbookView xWindow="-108" yWindow="-108" windowWidth="23256" windowHeight="12456" firstSheet="1" activeTab="1" xr2:uid="{00000000-000D-0000-FFFF-FFFF00000000}"/>
  </bookViews>
  <sheets>
    <sheet name="Sheet1" sheetId="2" state="hidden" r:id="rId1"/>
    <sheet name="Sheet2" sheetId="3" r:id="rId2"/>
    <sheet name="Dashboard" sheetId="4" r:id="rId3"/>
  </sheets>
  <definedNames>
    <definedName name="_xlchart.v5.0" hidden="1">Sheet2!$S$4:$S$15</definedName>
    <definedName name="_xlchart.v5.1" hidden="1">Sheet2!$T$4:$T$15</definedName>
    <definedName name="NativeTimeline_Check_in_Date">#N/A</definedName>
    <definedName name="Slicer_Outcome">#N/A</definedName>
    <definedName name="Slicer_Risk_Category">#N/A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3" l="1"/>
  <c r="T7" i="3"/>
  <c r="T9" i="3"/>
  <c r="T14" i="3"/>
  <c r="T10" i="3"/>
  <c r="T11" i="3"/>
  <c r="T12" i="3"/>
  <c r="T13" i="3"/>
  <c r="T4" i="3"/>
  <c r="T8" i="3"/>
  <c r="T15" i="3"/>
  <c r="T6" i="3"/>
</calcChain>
</file>

<file path=xl/sharedStrings.xml><?xml version="1.0" encoding="utf-8"?>
<sst xmlns="http://schemas.openxmlformats.org/spreadsheetml/2006/main" count="1724" uniqueCount="30">
  <si>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</si>
  <si>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</si>
  <si>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</si>
  <si>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</si>
  <si>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</si>
  <si>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</si>
  <si>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</si>
  <si>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</si>
  <si>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</si>
  <si>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</si>
  <si>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</si>
  <si>
    <t>Count of Visit ID</t>
  </si>
  <si>
    <t>Row Labels</t>
  </si>
  <si>
    <t>Grand Total</t>
  </si>
  <si>
    <t>Count of Outcome</t>
  </si>
  <si>
    <t>Count of Risk Category</t>
  </si>
  <si>
    <t>Jan</t>
  </si>
  <si>
    <t>Feb</t>
  </si>
  <si>
    <t>Mar</t>
  </si>
  <si>
    <t>Apr</t>
  </si>
  <si>
    <t>May</t>
  </si>
  <si>
    <t>Jun</t>
  </si>
  <si>
    <t>Jul</t>
  </si>
  <si>
    <t>Aug</t>
  </si>
  <si>
    <t>Sep</t>
  </si>
  <si>
    <t>Oct</t>
  </si>
  <si>
    <t>Nov</t>
  </si>
  <si>
    <t>Dec</t>
  </si>
  <si>
    <t>Column Labels</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</si>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</sst>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0" fillId="0" borderId="0" xfId="0" pivotButton="1"/>
    <xf numFmtId="0" fontId="0" fillId="0" borderId="0" xfId="0" applyAlignment="1">
      <alignment horizontal="left"/>
    </xf>
    <xf numFmtId="9" fontId="0" fillId="0" borderId="0" xfId="0" applyNumberFormat="1"/>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cellXfs>
  <cellStyles count="1">
    <cellStyle name="Normal" xfId="0" builtinId="0"/>
  </cellStyles>
  <dxfs count="3">
    <dxf>
      <border>
        <left style="thin">
          <color auto="1"/>
        </left>
        <right style="thin">
          <color auto="1"/>
        </right>
        <top style="thin">
          <color auto="1"/>
        </top>
        <bottom style="thin">
          <color auto="1"/>
        </bottom>
      </border>
    </dxf>
    <dxf>
      <font>
        <b/>
        <i val="0"/>
        <sz val="10"/>
        <color rgb="FFFF0000"/>
      </font>
      <border>
        <left style="thin">
          <color auto="1"/>
        </left>
        <right style="thin">
          <color auto="1"/>
        </right>
        <top style="thin">
          <color auto="1"/>
        </top>
        <bottom style="thin">
          <color auto="1"/>
        </bottom>
      </border>
    </dxf>
    <dxf>
      <font>
        <b/>
        <i val="0"/>
        <sz val="10"/>
        <color theme="9" tint="-0.24994659260841701"/>
      </font>
    </dxf>
  </dxfs>
  <tableStyles count="3" defaultTableStyle="TableStyleMedium2" defaultPivotStyle="PivotStyleLight16">
    <tableStyle name="Slicer Style 1" pivot="0" table="0" count="1" xr9:uid="{29CA5E94-2B78-41F9-8708-D436EFD57476}">
      <tableStyleElement type="wholeTable" dxfId="2"/>
    </tableStyle>
    <tableStyle name="Slicer Style 2" pivot="0" table="0" count="1" xr9:uid="{A9AC0C59-58A5-4FCE-B3FB-F8B664EBE1D0}">
      <tableStyleElement type="wholeTable" dxfId="1"/>
    </tableStyle>
    <tableStyle name="Slicer Style 3" pivot="0" table="0" count="1" xr9:uid="{FE5C093B-674E-47B6-BF09-68E48F3AC2BE}">
      <tableStyleElement type="wholeTable" dxfId="0"/>
    </tableStyle>
  </tableStyles>
  <colors>
    <mruColors>
      <color rgb="FFB80000"/>
      <color rgb="FFFF33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1).xlsb.xlsx]Sheet2!PivotTable4</c:name>
    <c:fmtId val="3"/>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US" sz="1600"/>
              <a:t>Mortality rate</a:t>
            </a:r>
            <a:r>
              <a:rPr lang="en-US" sz="1600" baseline="0"/>
              <a:t> </a:t>
            </a:r>
            <a:r>
              <a:rPr lang="en-US" sz="1600"/>
              <a:t>Vs.</a:t>
            </a:r>
            <a:r>
              <a:rPr lang="en-US" sz="1600" baseline="0"/>
              <a:t> S</a:t>
            </a:r>
            <a:r>
              <a:rPr lang="en-US" sz="1600"/>
              <a:t>urvival rate</a:t>
            </a:r>
          </a:p>
        </c:rich>
      </c:tx>
      <c:layout>
        <c:manualLayout>
          <c:xMode val="edge"/>
          <c:yMode val="edge"/>
          <c:x val="6.3369843977285359E-2"/>
          <c:y val="1.199939843015869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a:noFill/>
          </a:ln>
          <a:effectLst>
            <a:outerShdw blurRad="50800" dist="38100" dir="8100000" algn="tr" rotWithShape="0">
              <a:prstClr val="black">
                <a:alpha val="40000"/>
              </a:prstClr>
            </a:outerShdw>
          </a:effectLst>
        </c:spPr>
      </c:pivotFmt>
      <c:pivotFmt>
        <c:idx val="6"/>
        <c:spPr>
          <a:solidFill>
            <a:schemeClr val="accent6">
              <a:lumMod val="75000"/>
            </a:schemeClr>
          </a:solidFill>
          <a:ln>
            <a:noFill/>
          </a:ln>
          <a:effectLst>
            <a:innerShdw blurRad="63500" dist="50800" dir="13500000">
              <a:prstClr val="black">
                <a:alpha val="50000"/>
              </a:prstClr>
            </a:innerShdw>
          </a:effectLst>
        </c:spPr>
      </c:pivotFmt>
    </c:pivotFmts>
    <c:plotArea>
      <c:layout>
        <c:manualLayout>
          <c:layoutTarget val="inner"/>
          <c:xMode val="edge"/>
          <c:yMode val="edge"/>
          <c:x val="0.17528797967707516"/>
          <c:y val="0.15436899177545327"/>
          <c:w val="0.59348534417163945"/>
          <c:h val="0.76649099547364929"/>
        </c:manualLayout>
      </c:layout>
      <c:pieChart>
        <c:varyColors val="1"/>
        <c:ser>
          <c:idx val="0"/>
          <c:order val="0"/>
          <c:tx>
            <c:strRef>
              <c:f>Sheet2!$H$9</c:f>
              <c:strCache>
                <c:ptCount val="1"/>
                <c:pt idx="0">
                  <c:v>Total</c:v>
                </c:pt>
              </c:strCache>
            </c:strRef>
          </c:tx>
          <c:dPt>
            <c:idx val="0"/>
            <c:bubble3D val="0"/>
            <c:spPr>
              <a:solidFill>
                <a:srgbClr val="C0000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1B5A-410C-959E-E4DA2F948B38}"/>
              </c:ext>
            </c:extLst>
          </c:dPt>
          <c:dPt>
            <c:idx val="1"/>
            <c:bubble3D val="0"/>
            <c:explosion val="12"/>
            <c:spPr>
              <a:solidFill>
                <a:schemeClr val="accent6">
                  <a:lumMod val="75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3-1B5A-410C-959E-E4DA2F948B38}"/>
              </c:ext>
            </c:extLst>
          </c:dPt>
          <c:dLbls>
            <c:spPr>
              <a:no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Sheet2!$G$10:$G$11</c:f>
              <c:strCache>
                <c:ptCount val="2"/>
                <c:pt idx="0">
                  <c:v>Die</c:v>
                </c:pt>
                <c:pt idx="1">
                  <c:v>Live</c:v>
                </c:pt>
              </c:strCache>
            </c:strRef>
          </c:cat>
          <c:val>
            <c:numRef>
              <c:f>Sheet2!$H$10:$H$11</c:f>
              <c:numCache>
                <c:formatCode>0%</c:formatCode>
                <c:ptCount val="2"/>
                <c:pt idx="0">
                  <c:v>0.17121588089330025</c:v>
                </c:pt>
                <c:pt idx="1">
                  <c:v>0.8287841191066998</c:v>
                </c:pt>
              </c:numCache>
            </c:numRef>
          </c:val>
          <c:extLst>
            <c:ext xmlns:c16="http://schemas.microsoft.com/office/drawing/2014/chart" uri="{C3380CC4-5D6E-409C-BE32-E72D297353CC}">
              <c16:uniqueId val="{00000004-1B5A-410C-959E-E4DA2F948B3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1).xlsb.xlsx]Sheet2!PivotTable5</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t>Critical cases Vs. Normal cases</a:t>
            </a:r>
          </a:p>
        </c:rich>
      </c:tx>
      <c:layout>
        <c:manualLayout>
          <c:xMode val="edge"/>
          <c:yMode val="edge"/>
          <c:x val="8.1769665668380162E-2"/>
          <c:y val="6.108764738155129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25400" cap="sq">
            <a:solidFill>
              <a:schemeClr val="accent6">
                <a:lumMod val="75000"/>
              </a:schemeClr>
            </a:solidFill>
            <a:bevel/>
          </a:ln>
          <a:effectLst>
            <a:outerShdw blurRad="317500" algn="ctr" rotWithShape="0">
              <a:schemeClr val="accent6">
                <a:lumMod val="75000"/>
                <a:alpha val="25000"/>
              </a:schemeClr>
            </a:outerShdw>
          </a:effectLst>
        </c:spPr>
      </c:pivotFmt>
      <c:pivotFmt>
        <c:idx val="6"/>
        <c:spPr>
          <a:solidFill>
            <a:srgbClr val="C00000"/>
          </a:solidFill>
          <a:ln>
            <a:noFill/>
          </a:ln>
          <a:effectLst>
            <a:outerShdw blurRad="50800" dist="38100" dir="10800000" algn="r" rotWithShape="0">
              <a:prstClr val="black">
                <a:alpha val="40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Sheet2!$H$13</c:f>
              <c:strCache>
                <c:ptCount val="1"/>
                <c:pt idx="0">
                  <c:v>Total</c:v>
                </c:pt>
              </c:strCache>
            </c:strRef>
          </c:tx>
          <c:dPt>
            <c:idx val="0"/>
            <c:bubble3D val="0"/>
            <c:spPr>
              <a:solidFill>
                <a:schemeClr val="accent6">
                  <a:lumMod val="75000"/>
                </a:schemeClr>
              </a:solidFill>
              <a:ln w="25400" cap="sq">
                <a:solidFill>
                  <a:schemeClr val="accent6">
                    <a:lumMod val="75000"/>
                  </a:schemeClr>
                </a:solidFill>
                <a:bevel/>
              </a:ln>
              <a:effectLst>
                <a:outerShdw blurRad="317500" algn="ctr" rotWithShape="0">
                  <a:schemeClr val="accent6">
                    <a:lumMod val="75000"/>
                    <a:alpha val="25000"/>
                  </a:schemeClr>
                </a:outerShdw>
              </a:effectLst>
            </c:spPr>
            <c:extLst>
              <c:ext xmlns:c16="http://schemas.microsoft.com/office/drawing/2014/chart" uri="{C3380CC4-5D6E-409C-BE32-E72D297353CC}">
                <c16:uniqueId val="{00000001-0632-42CB-826E-9ECC60145709}"/>
              </c:ext>
            </c:extLst>
          </c:dPt>
          <c:dPt>
            <c:idx val="1"/>
            <c:bubble3D val="0"/>
            <c:spPr>
              <a:solidFill>
                <a:srgbClr val="C00000"/>
              </a:solidFill>
              <a:ln>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0632-42CB-826E-9ECC60145709}"/>
              </c:ext>
            </c:extLst>
          </c:dPt>
          <c:dLbls>
            <c:spPr>
              <a:noFill/>
              <a:ln w="952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Sheet2!$G$14:$G$16</c:f>
              <c:strCache>
                <c:ptCount val="2"/>
                <c:pt idx="0">
                  <c:v>High</c:v>
                </c:pt>
                <c:pt idx="1">
                  <c:v>Low</c:v>
                </c:pt>
              </c:strCache>
            </c:strRef>
          </c:cat>
          <c:val>
            <c:numRef>
              <c:f>Sheet2!$H$14:$H$16</c:f>
              <c:numCache>
                <c:formatCode>0%</c:formatCode>
                <c:ptCount val="2"/>
                <c:pt idx="0">
                  <c:v>0.45161290322580644</c:v>
                </c:pt>
                <c:pt idx="1">
                  <c:v>0.54838709677419351</c:v>
                </c:pt>
              </c:numCache>
            </c:numRef>
          </c:val>
          <c:extLst>
            <c:ext xmlns:c16="http://schemas.microsoft.com/office/drawing/2014/chart" uri="{C3380CC4-5D6E-409C-BE32-E72D297353CC}">
              <c16:uniqueId val="{00000008-31E9-4CDC-A8F5-72E0F7F5416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1).xlsb.xlsx]Sheet2!PivotTable6</c:name>
    <c:fmtId val="7"/>
  </c:pivotSource>
  <c:chart>
    <c:title>
      <c:tx>
        <c:rich>
          <a:bodyPr rot="0" spcFirstLastPara="1" vertOverflow="ellipsis" vert="horz" wrap="square" anchor="ctr" anchorCtr="1"/>
          <a:lstStyle/>
          <a:p>
            <a:pPr algn="ctr">
              <a:defRPr sz="1800" b="1" i="0" u="none" strike="noStrike" kern="1200" cap="all" spc="50" baseline="0">
                <a:ln>
                  <a:noFill/>
                </a:ln>
                <a:solidFill>
                  <a:sysClr val="windowText" lastClr="000000">
                    <a:lumMod val="65000"/>
                    <a:lumOff val="35000"/>
                  </a:sysClr>
                </a:solidFill>
                <a:latin typeface="+mn-lt"/>
                <a:ea typeface="+mn-ea"/>
                <a:cs typeface="+mn-cs"/>
              </a:defRPr>
            </a:pPr>
            <a:r>
              <a:rPr lang="en-US" sz="1400">
                <a:ln>
                  <a:noFill/>
                </a:ln>
                <a:solidFill>
                  <a:sysClr val="windowText" lastClr="000000">
                    <a:lumMod val="65000"/>
                    <a:lumOff val="35000"/>
                  </a:sysClr>
                </a:solidFill>
              </a:rPr>
              <a:t>Percentage of monthly deaths relative to the total number of patients</a:t>
            </a:r>
          </a:p>
        </c:rich>
      </c:tx>
      <c:layout>
        <c:manualLayout>
          <c:xMode val="edge"/>
          <c:yMode val="edge"/>
          <c:x val="9.5116995120804446E-2"/>
          <c:y val="6.2255419099471838E-3"/>
        </c:manualLayout>
      </c:layout>
      <c:overlay val="0"/>
      <c:spPr>
        <a:noFill/>
        <a:ln>
          <a:noFill/>
        </a:ln>
        <a:effectLst/>
      </c:spPr>
      <c:txPr>
        <a:bodyPr rot="0" spcFirstLastPara="1" vertOverflow="ellipsis" vert="horz" wrap="square" anchor="ctr" anchorCtr="1"/>
        <a:lstStyle/>
        <a:p>
          <a:pPr algn="ctr">
            <a:defRPr sz="1800" b="1" i="0" u="none" strike="noStrike" kern="1200" cap="all" spc="50" baseline="0">
              <a:ln>
                <a:noFill/>
              </a:ln>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8.1197236709047799E-2"/>
              <c:y val="0.10641848388254413"/>
            </c:manualLayout>
          </c:layout>
          <c:tx>
            <c:rich>
              <a:bodyPr/>
              <a:lstStyle/>
              <a:p>
                <a:r>
                  <a:rPr lang="en-US" sz="1050"/>
                  <a:t>[VALUE]</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6"/>
        <c:dLbl>
          <c:idx val="0"/>
          <c:layout>
            <c:manualLayout>
              <c:x val="8.4804740316551344E-2"/>
              <c:y val="-0.10641883571524069"/>
            </c:manualLayout>
          </c:layout>
          <c:tx>
            <c:rich>
              <a:bodyPr/>
              <a:lstStyle/>
              <a:p>
                <a:r>
                  <a:rPr lang="en-US" sz="1050"/>
                  <a:t>[VALUE]</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7"/>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8.1197236709047799E-2"/>
              <c:y val="0.10641848388254413"/>
            </c:manualLayout>
          </c:layout>
          <c:tx>
            <c:rich>
              <a:bodyPr/>
              <a:lstStyle/>
              <a:p>
                <a:r>
                  <a:rPr lang="en-US" sz="1050"/>
                  <a:t>17%</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9"/>
        <c:dLbl>
          <c:idx val="0"/>
          <c:layout>
            <c:manualLayout>
              <c:x val="8.4804740316551344E-2"/>
              <c:y val="-0.10641883571524069"/>
            </c:manualLayout>
          </c:layout>
          <c:tx>
            <c:rich>
              <a:bodyPr/>
              <a:lstStyle/>
              <a:p>
                <a:r>
                  <a:rPr lang="en-US" sz="1050"/>
                  <a:t>83%</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1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8.1197236709047799E-2"/>
              <c:y val="0.10641848388254413"/>
            </c:manualLayout>
          </c:layout>
          <c:tx>
            <c:rich>
              <a:bodyPr/>
              <a:lstStyle/>
              <a:p>
                <a:r>
                  <a:rPr lang="en-US" sz="1050"/>
                  <a:t>17%</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12"/>
        <c:dLbl>
          <c:idx val="0"/>
          <c:layout>
            <c:manualLayout>
              <c:x val="8.4804740316551344E-2"/>
              <c:y val="-0.10641883571524069"/>
            </c:manualLayout>
          </c:layout>
          <c:tx>
            <c:rich>
              <a:bodyPr/>
              <a:lstStyle/>
              <a:p>
                <a:r>
                  <a:rPr lang="en-US" sz="1050"/>
                  <a:t>83%</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13"/>
        <c:spPr>
          <a:solidFill>
            <a:srgbClr val="C00000">
              <a:alpha val="70000"/>
            </a:srgb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alpha val="70000"/>
            </a:srgbClr>
          </a:solidFill>
          <a:ln>
            <a:noFill/>
          </a:ln>
          <a:effectLst>
            <a:innerShdw blurRad="63500" dist="50800" dir="13500000">
              <a:prstClr val="black">
                <a:alpha val="50000"/>
              </a:prstClr>
            </a:innerShdw>
          </a:effectLst>
        </c:spPr>
      </c:pivotFmt>
      <c:pivotFmt>
        <c:idx val="15"/>
        <c:spPr>
          <a:solidFill>
            <a:srgbClr val="C00000">
              <a:alpha val="70000"/>
            </a:srgbClr>
          </a:solidFill>
          <a:ln>
            <a:noFill/>
          </a:ln>
          <a:effectLst>
            <a:innerShdw blurRad="63500" dist="50800" dir="13500000">
              <a:prstClr val="black">
                <a:alpha val="50000"/>
              </a:prstClr>
            </a:innerShdw>
          </a:effectLst>
        </c:spPr>
      </c:pivotFmt>
      <c:pivotFmt>
        <c:idx val="16"/>
        <c:spPr>
          <a:solidFill>
            <a:schemeClr val="accent6">
              <a:lumMod val="75000"/>
              <a:alpha val="70000"/>
            </a:scheme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80995262659939"/>
          <c:w val="0.93888888888888888"/>
          <c:h val="0.66702744287257398"/>
        </c:manualLayout>
      </c:layout>
      <c:barChart>
        <c:barDir val="col"/>
        <c:grouping val="percentStacked"/>
        <c:varyColors val="0"/>
        <c:ser>
          <c:idx val="0"/>
          <c:order val="0"/>
          <c:tx>
            <c:strRef>
              <c:f>Sheet2!$H$18:$H$19</c:f>
              <c:strCache>
                <c:ptCount val="1"/>
                <c:pt idx="0">
                  <c:v>Die</c:v>
                </c:pt>
              </c:strCache>
            </c:strRef>
          </c:tx>
          <c:spPr>
            <a:solidFill>
              <a:srgbClr val="C00000">
                <a:alpha val="70000"/>
              </a:srgbClr>
            </a:solidFill>
            <a:ln>
              <a:noFill/>
            </a:ln>
            <a:effectLst>
              <a:innerShdw blurRad="63500" dist="50800" dir="13500000">
                <a:prstClr val="black">
                  <a:alpha val="50000"/>
                </a:prstClr>
              </a:innerShdw>
            </a:effectLst>
          </c:spPr>
          <c:invertIfNegative val="0"/>
          <c:dPt>
            <c:idx val="0"/>
            <c:invertIfNegative val="0"/>
            <c:bubble3D val="0"/>
            <c:extLst>
              <c:ext xmlns:c16="http://schemas.microsoft.com/office/drawing/2014/chart" uri="{C3380CC4-5D6E-409C-BE32-E72D297353CC}">
                <c16:uniqueId val="{0000000B-2982-43E5-A7A0-63E068D4E5E0}"/>
              </c:ext>
            </c:extLst>
          </c:dPt>
          <c:dPt>
            <c:idx val="1"/>
            <c:invertIfNegative val="0"/>
            <c:bubble3D val="0"/>
            <c:extLst>
              <c:ext xmlns:c16="http://schemas.microsoft.com/office/drawing/2014/chart" uri="{C3380CC4-5D6E-409C-BE32-E72D297353CC}">
                <c16:uniqueId val="{0000000D-2982-43E5-A7A0-63E068D4E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Sheet2!$G$20:$G$32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Sheet2!$H$20:$H$32</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E-2982-43E5-A7A0-63E068D4E5E0}"/>
            </c:ext>
          </c:extLst>
        </c:ser>
        <c:ser>
          <c:idx val="1"/>
          <c:order val="1"/>
          <c:tx>
            <c:strRef>
              <c:f>Sheet2!$I$18:$I$19</c:f>
              <c:strCache>
                <c:ptCount val="1"/>
                <c:pt idx="0">
                  <c:v>Live</c:v>
                </c:pt>
              </c:strCache>
            </c:strRef>
          </c:tx>
          <c:spPr>
            <a:solidFill>
              <a:schemeClr val="accent6">
                <a:lumMod val="75000"/>
                <a:alpha val="70000"/>
              </a:schemeClr>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Sheet2!$G$20:$G$32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Sheet2!$I$20:$I$32</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20-247A-4699-8817-3B31E0E88A71}"/>
            </c:ext>
          </c:extLst>
        </c:ser>
        <c:dLbls>
          <c:showLegendKey val="0"/>
          <c:showVal val="1"/>
          <c:showCatName val="0"/>
          <c:showSerName val="0"/>
          <c:showPercent val="0"/>
          <c:showBubbleSize val="0"/>
        </c:dLbls>
        <c:gapWidth val="50"/>
        <c:overlap val="100"/>
        <c:axId val="173019056"/>
        <c:axId val="173006096"/>
      </c:barChart>
      <c:catAx>
        <c:axId val="17301905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3006096"/>
        <c:crosses val="autoZero"/>
        <c:auto val="1"/>
        <c:lblAlgn val="ctr"/>
        <c:lblOffset val="100"/>
        <c:noMultiLvlLbl val="0"/>
      </c:catAx>
      <c:valAx>
        <c:axId val="173006096"/>
        <c:scaling>
          <c:orientation val="minMax"/>
        </c:scaling>
        <c:delete val="1"/>
        <c:axPos val="l"/>
        <c:numFmt formatCode="0%" sourceLinked="1"/>
        <c:majorTickMark val="none"/>
        <c:minorTickMark val="none"/>
        <c:tickLblPos val="nextTo"/>
        <c:crossAx val="173019056"/>
        <c:crosses val="autoZero"/>
        <c:crossBetween val="between"/>
      </c:valAx>
      <c:spPr>
        <a:noFill/>
        <a:ln>
          <a:noFill/>
        </a:ln>
        <a:effectLst/>
      </c:spPr>
    </c:plotArea>
    <c:legend>
      <c:legendPos val="t"/>
      <c:layout>
        <c:manualLayout>
          <c:xMode val="edge"/>
          <c:yMode val="edge"/>
          <c:x val="0.40081693602191554"/>
          <c:y val="0.14177121233411855"/>
          <c:w val="0.13376517121402165"/>
          <c:h val="7.0028238194167161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1).xlsb.xlsx]Sheet2!PivotTable12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60" b="1" i="0" u="none" strike="noStrike" kern="1200" cap="all" spc="120" normalizeH="0" baseline="0">
                <a:solidFill>
                  <a:sysClr val="window" lastClr="FFFFFF"/>
                </a:solidFill>
                <a:latin typeface="+mn-lt"/>
                <a:ea typeface="+mn-ea"/>
                <a:cs typeface="+mn-cs"/>
              </a:defRPr>
            </a:pPr>
            <a:r>
              <a:rPr lang="en-US" sz="1600" b="1" i="0" u="none" strike="noStrike" kern="1200" baseline="0">
                <a:solidFill>
                  <a:sysClr val="windowText" lastClr="000000">
                    <a:lumMod val="65000"/>
                    <a:lumOff val="35000"/>
                  </a:sysClr>
                </a:solidFill>
              </a:rPr>
              <a:t>Percentage change in the number of deaths per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60" b="1" i="0" u="none" strike="noStrike" kern="1200" cap="all" spc="12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alpha val="74000"/>
            </a:srgb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48235"/>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innerShdw blurRad="63500" dist="50800" dir="13500000">
              <a:prstClr val="black">
                <a:alpha val="50000"/>
              </a:prstClr>
            </a:innerShdw>
          </a:effectLst>
        </c:spPr>
      </c:pivotFmt>
    </c:pivotFmts>
    <c:plotArea>
      <c:layout/>
      <c:barChart>
        <c:barDir val="col"/>
        <c:grouping val="clustered"/>
        <c:varyColors val="0"/>
        <c:ser>
          <c:idx val="0"/>
          <c:order val="0"/>
          <c:tx>
            <c:strRef>
              <c:f>Sheet2!$L$17:$L$18</c:f>
              <c:strCache>
                <c:ptCount val="1"/>
                <c:pt idx="0">
                  <c:v>Die</c:v>
                </c:pt>
              </c:strCache>
            </c:strRef>
          </c:tx>
          <c:spPr>
            <a:solidFill>
              <a:srgbClr val="548235"/>
            </a:solidFill>
            <a:ln>
              <a:noFill/>
            </a:ln>
            <a:effectLst>
              <a:innerShdw blurRad="63500" dist="50800" dir="13500000">
                <a:prstClr val="black">
                  <a:alpha val="50000"/>
                </a:prstClr>
              </a:innerShdw>
            </a:effectLst>
          </c:spPr>
          <c:invertIfNegative val="1"/>
          <c:dPt>
            <c:idx val="7"/>
            <c:invertIfNegative val="1"/>
            <c:bubble3D val="0"/>
            <c:spPr>
              <a:solidFill>
                <a:schemeClr val="accent6">
                  <a:lumMod val="75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0-49B7-4627-8DE0-3B05516A7FAF}"/>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Sheet2!$K$19:$K$30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Sheet2!$L$19:$L$30</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83A1-4C94-86B7-F9B7BA2CDD8C}"/>
            </c:ext>
          </c:extLst>
        </c:ser>
        <c:dLbls>
          <c:dLblPos val="inEnd"/>
          <c:showLegendKey val="0"/>
          <c:showVal val="1"/>
          <c:showCatName val="0"/>
          <c:showSerName val="0"/>
          <c:showPercent val="0"/>
          <c:showBubbleSize val="0"/>
        </c:dLbls>
        <c:gapWidth val="50"/>
        <c:overlap val="-90"/>
        <c:axId val="605575087"/>
        <c:axId val="605576047"/>
      </c:barChart>
      <c:catAx>
        <c:axId val="605575087"/>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000" b="1" i="0" u="none" strike="noStrike" kern="1200" cap="all" spc="120" normalizeH="0" baseline="0">
                <a:solidFill>
                  <a:sysClr val="windowText" lastClr="000000"/>
                </a:solidFill>
                <a:latin typeface="+mn-lt"/>
                <a:ea typeface="+mn-ea"/>
                <a:cs typeface="+mn-cs"/>
              </a:defRPr>
            </a:pPr>
            <a:endParaRPr lang="en-US"/>
          </a:p>
        </c:txPr>
        <c:crossAx val="605576047"/>
        <c:crosses val="autoZero"/>
        <c:auto val="1"/>
        <c:lblAlgn val="ctr"/>
        <c:lblOffset val="100"/>
        <c:noMultiLvlLbl val="0"/>
      </c:catAx>
      <c:valAx>
        <c:axId val="605576047"/>
        <c:scaling>
          <c:orientation val="minMax"/>
        </c:scaling>
        <c:delete val="1"/>
        <c:axPos val="l"/>
        <c:numFmt formatCode="0%" sourceLinked="1"/>
        <c:majorTickMark val="none"/>
        <c:minorTickMark val="none"/>
        <c:tickLblPos val="nextTo"/>
        <c:crossAx val="60557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bg1"/>
      </a:bgClr>
    </a:pattFill>
    <a:ln w="9525" cap="flat" cmpd="sng" algn="ctr">
      <a:solidFill>
        <a:schemeClr val="tx1">
          <a:lumMod val="15000"/>
          <a:lumOff val="85000"/>
        </a:schemeClr>
      </a:solidFill>
      <a:round/>
    </a:ln>
    <a:effectLst/>
  </c:spPr>
  <c:txPr>
    <a:bodyPr/>
    <a:lstStyle/>
    <a:p>
      <a:pPr>
        <a:defRPr sz="800">
          <a:solidFill>
            <a:schemeClr val="bg1"/>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1).xlsb.xlsx]Sheet2!PivotTable11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Cumulative total number of deaths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C00000"/>
            </a:solidFill>
            <a:round/>
          </a:ln>
          <a:effectLst>
            <a:outerShdw blurRad="57150" dist="19050" dir="5400000" algn="ctr" rotWithShape="0">
              <a:srgbClr val="000000">
                <a:alpha val="63000"/>
              </a:srgbClr>
            </a:outerShdw>
          </a:effectLst>
        </c:spPr>
        <c:marker>
          <c:symbol val="diamond"/>
          <c:size val="8"/>
          <c:spPr>
            <a:solidFill>
              <a:schemeClr val="accent6">
                <a:lumMod val="60000"/>
                <a:lumOff val="40000"/>
              </a:schemeClr>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Sheet2!$P$2:$P$4</c:f>
              <c:strCache>
                <c:ptCount val="1"/>
                <c:pt idx="0">
                  <c:v>Die - Count of Visit ID</c:v>
                </c:pt>
              </c:strCache>
            </c:strRef>
          </c:tx>
          <c:spPr>
            <a:solidFill>
              <a:schemeClr val="accent6">
                <a:lumMod val="75000"/>
              </a:schemeClr>
            </a:solidFill>
            <a:ln>
              <a:noFill/>
            </a:ln>
            <a:effectLst>
              <a:innerShdw blurRad="63500" dist="50800" dir="13500000">
                <a:prstClr val="black">
                  <a:alpha val="50000"/>
                </a:prstClr>
              </a:innerShdw>
            </a:effectLst>
          </c:spPr>
          <c:invertIfNegative val="0"/>
          <c:cat>
            <c:strRef>
              <c:f>Sheet2!$O$5:$O$16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Sheet2!$P$5:$P$16</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896E-45BA-AEE6-A7C5006E26A5}"/>
            </c:ext>
          </c:extLst>
        </c:ser>
        <c:dLbls>
          <c:showLegendKey val="0"/>
          <c:showVal val="0"/>
          <c:showCatName val="0"/>
          <c:showSerName val="0"/>
          <c:showPercent val="0"/>
          <c:showBubbleSize val="0"/>
        </c:dLbls>
        <c:gapWidth val="50"/>
        <c:overlap val="100"/>
        <c:axId val="918156991"/>
        <c:axId val="918151231"/>
      </c:barChart>
      <c:lineChart>
        <c:grouping val="standard"/>
        <c:varyColors val="0"/>
        <c:ser>
          <c:idx val="1"/>
          <c:order val="1"/>
          <c:tx>
            <c:strRef>
              <c:f>Sheet2!$Q$2:$Q$4</c:f>
              <c:strCache>
                <c:ptCount val="1"/>
                <c:pt idx="0">
                  <c:v>Die - Count of Visit ID2</c:v>
                </c:pt>
              </c:strCache>
            </c:strRef>
          </c:tx>
          <c:spPr>
            <a:ln w="34925" cap="rnd">
              <a:solidFill>
                <a:srgbClr val="C00000"/>
              </a:solidFill>
              <a:round/>
            </a:ln>
            <a:effectLst>
              <a:outerShdw blurRad="57150" dist="19050" dir="5400000" algn="ctr" rotWithShape="0">
                <a:srgbClr val="000000">
                  <a:alpha val="63000"/>
                </a:srgbClr>
              </a:outerShdw>
            </a:effectLst>
          </c:spPr>
          <c:marker>
            <c:symbol val="diamond"/>
            <c:size val="8"/>
            <c:spPr>
              <a:solidFill>
                <a:schemeClr val="accent6">
                  <a:lumMod val="60000"/>
                  <a:lumOff val="40000"/>
                </a:schemeClr>
              </a:solidFill>
              <a:ln w="9525">
                <a:solidFill>
                  <a:srgbClr val="C00000"/>
                </a:solidFill>
                <a:round/>
              </a:ln>
              <a:effectLst>
                <a:outerShdw blurRad="57150" dist="19050" dir="5400000" algn="ctr" rotWithShape="0">
                  <a:srgbClr val="000000">
                    <a:alpha val="63000"/>
                  </a:srgbClr>
                </a:outerShdw>
              </a:effectLst>
            </c:spPr>
          </c:marker>
          <c:cat>
            <c:strRef>
              <c:f>Sheet2!$O$5:$O$16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Sheet2!$Q$5:$Q$16</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896E-45BA-AEE6-A7C5006E26A5}"/>
            </c:ext>
          </c:extLst>
        </c:ser>
        <c:dLbls>
          <c:showLegendKey val="0"/>
          <c:showVal val="0"/>
          <c:showCatName val="0"/>
          <c:showSerName val="0"/>
          <c:showPercent val="0"/>
          <c:showBubbleSize val="0"/>
        </c:dLbls>
        <c:marker val="1"/>
        <c:smooth val="0"/>
        <c:axId val="918165151"/>
        <c:axId val="918179071"/>
      </c:lineChart>
      <c:catAx>
        <c:axId val="918156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18151231"/>
        <c:crosses val="autoZero"/>
        <c:auto val="1"/>
        <c:lblAlgn val="ctr"/>
        <c:lblOffset val="100"/>
        <c:noMultiLvlLbl val="0"/>
      </c:catAx>
      <c:valAx>
        <c:axId val="91815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56991"/>
        <c:crosses val="autoZero"/>
        <c:crossBetween val="between"/>
      </c:valAx>
      <c:valAx>
        <c:axId val="9181790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65151"/>
        <c:crosses val="max"/>
        <c:crossBetween val="between"/>
      </c:valAx>
      <c:catAx>
        <c:axId val="918165151"/>
        <c:scaling>
          <c:orientation val="minMax"/>
        </c:scaling>
        <c:delete val="1"/>
        <c:axPos val="t"/>
        <c:numFmt formatCode="General" sourceLinked="1"/>
        <c:majorTickMark val="none"/>
        <c:minorTickMark val="none"/>
        <c:tickLblPos val="nextTo"/>
        <c:crossAx val="918179071"/>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tx>
        <cx:txData>
          <cx:v>Monthly change in the number of deaths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Monthly change in the number of deaths</a:t>
          </a:r>
        </a:p>
      </cx:txPr>
    </cx:title>
    <cx:plotArea>
      <cx:plotAreaRegion>
        <cx:series layoutId="waterfall" uniqueId="{57A8A00F-19AC-49B4-B660-8F068A9FAE66}">
          <cx:spPr>
            <a:effectLst>
              <a:innerShdw blurRad="63500" dist="50800" dir="13500000">
                <a:prstClr val="black">
                  <a:alpha val="50000"/>
                </a:prstClr>
              </a:innerShdw>
            </a:effectLst>
          </cx:spPr>
          <cx:dataLabels pos="inEnd">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Calibri" panose="020F0502020204030204"/>
            </a:endParaRPr>
          </a:p>
        </cx:txPr>
      </cx:axis>
      <cx:axis id="1" hidden="1">
        <cx:valScaling/>
        <cx:tickLabels/>
      </cx:axis>
    </cx:plotArea>
  </cx:chart>
  <cx:spPr>
    <a:pattFill prst="dkDnDiag">
      <a:fgClr>
        <a:schemeClr val="lt1">
          <a:lumMod val="95000"/>
        </a:schemeClr>
      </a:fgClr>
      <a:bgClr>
        <a:schemeClr val="bg1"/>
      </a:bgClr>
    </a:pattFill>
  </cx:spPr>
  <cx:fmtOvrs>
    <cx:fmtOvr idx="0">
      <cx:spPr>
        <a:solidFill>
          <a:schemeClr val="accent6">
            <a:lumMod val="75000"/>
          </a:schemeClr>
        </a:solidFill>
      </cx:spPr>
    </cx:fmtOvr>
    <cx:fmtOvr idx="1">
      <cx:spPr>
        <a:solidFill>
          <a:srgbClr val="C0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4.png"/><Relationship Id="rId4" Type="http://schemas.microsoft.com/office/2014/relationships/chartEx" Target="../charts/chartEx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388453</xdr:colOff>
      <xdr:row>10</xdr:row>
      <xdr:rowOff>18835</xdr:rowOff>
    </xdr:from>
    <xdr:to>
      <xdr:col>14</xdr:col>
      <xdr:colOff>87591</xdr:colOff>
      <xdr:row>27</xdr:row>
      <xdr:rowOff>20405</xdr:rowOff>
    </xdr:to>
    <xdr:graphicFrame macro="">
      <xdr:nvGraphicFramePr>
        <xdr:cNvPr id="2" name="Chart 1">
          <a:extLst>
            <a:ext uri="{FF2B5EF4-FFF2-40B4-BE49-F238E27FC236}">
              <a16:creationId xmlns:a16="http://schemas.microsoft.com/office/drawing/2014/main" id="{BB61780C-329C-40C5-BEBC-B554B6BAC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388453</xdr:colOff>
      <xdr:row>27</xdr:row>
      <xdr:rowOff>22185</xdr:rowOff>
    </xdr:from>
    <xdr:to>
      <xdr:col>14</xdr:col>
      <xdr:colOff>89016</xdr:colOff>
      <xdr:row>44</xdr:row>
      <xdr:rowOff>30844</xdr:rowOff>
    </xdr:to>
    <xdr:graphicFrame macro="">
      <xdr:nvGraphicFramePr>
        <xdr:cNvPr id="3" name="Chart 2">
          <a:extLst>
            <a:ext uri="{FF2B5EF4-FFF2-40B4-BE49-F238E27FC236}">
              <a16:creationId xmlns:a16="http://schemas.microsoft.com/office/drawing/2014/main" id="{262855BE-0AAD-4603-880D-4A3D6D5E3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6614</xdr:colOff>
      <xdr:row>10</xdr:row>
      <xdr:rowOff>19217</xdr:rowOff>
    </xdr:from>
    <xdr:to>
      <xdr:col>8</xdr:col>
      <xdr:colOff>375015</xdr:colOff>
      <xdr:row>27</xdr:row>
      <xdr:rowOff>31611</xdr:rowOff>
    </xdr:to>
    <xdr:graphicFrame macro="">
      <xdr:nvGraphicFramePr>
        <xdr:cNvPr id="4" name="Chart 3">
          <a:extLst>
            <a:ext uri="{FF2B5EF4-FFF2-40B4-BE49-F238E27FC236}">
              <a16:creationId xmlns:a16="http://schemas.microsoft.com/office/drawing/2014/main" id="{3072B051-6873-4B96-9AE1-7191806B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78288</xdr:colOff>
      <xdr:row>10</xdr:row>
      <xdr:rowOff>17690</xdr:rowOff>
    </xdr:from>
    <xdr:to>
      <xdr:col>22</xdr:col>
      <xdr:colOff>280793</xdr:colOff>
      <xdr:row>27</xdr:row>
      <xdr:rowOff>45953</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39845527-4F69-4B2A-9AE6-F60885877A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12688" y="1846490"/>
              <a:ext cx="5079305" cy="31372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78287</xdr:colOff>
      <xdr:row>27</xdr:row>
      <xdr:rowOff>40095</xdr:rowOff>
    </xdr:from>
    <xdr:to>
      <xdr:col>22</xdr:col>
      <xdr:colOff>280791</xdr:colOff>
      <xdr:row>44</xdr:row>
      <xdr:rowOff>38100</xdr:rowOff>
    </xdr:to>
    <xdr:graphicFrame macro="">
      <xdr:nvGraphicFramePr>
        <xdr:cNvPr id="9" name="Chart 8">
          <a:extLst>
            <a:ext uri="{FF2B5EF4-FFF2-40B4-BE49-F238E27FC236}">
              <a16:creationId xmlns:a16="http://schemas.microsoft.com/office/drawing/2014/main" id="{76CAC6AE-DEC1-48DB-9808-F9D00396B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6268</xdr:colOff>
      <xdr:row>27</xdr:row>
      <xdr:rowOff>26725</xdr:rowOff>
    </xdr:from>
    <xdr:to>
      <xdr:col>8</xdr:col>
      <xdr:colOff>375016</xdr:colOff>
      <xdr:row>44</xdr:row>
      <xdr:rowOff>37163</xdr:rowOff>
    </xdr:to>
    <xdr:graphicFrame macro="">
      <xdr:nvGraphicFramePr>
        <xdr:cNvPr id="11" name="Chart 10">
          <a:extLst>
            <a:ext uri="{FF2B5EF4-FFF2-40B4-BE49-F238E27FC236}">
              <a16:creationId xmlns:a16="http://schemas.microsoft.com/office/drawing/2014/main" id="{1ED89B53-9E9E-47D6-9CC7-8D6396475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19888</xdr:colOff>
      <xdr:row>0</xdr:row>
      <xdr:rowOff>114467</xdr:rowOff>
    </xdr:from>
    <xdr:ext cx="5456987" cy="723900"/>
    <xdr:sp macro="" textlink="">
      <xdr:nvSpPr>
        <xdr:cNvPr id="12" name="Rectangle 11">
          <a:extLst>
            <a:ext uri="{FF2B5EF4-FFF2-40B4-BE49-F238E27FC236}">
              <a16:creationId xmlns:a16="http://schemas.microsoft.com/office/drawing/2014/main" id="{C1B6AA51-5B13-8373-C69B-077ADB936A8A}"/>
            </a:ext>
          </a:extLst>
        </xdr:cNvPr>
        <xdr:cNvSpPr/>
      </xdr:nvSpPr>
      <xdr:spPr>
        <a:xfrm>
          <a:off x="19888" y="114467"/>
          <a:ext cx="5456987" cy="7239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lIns="91440" tIns="45720" rIns="91440" bIns="45720">
          <a:noAutofit/>
        </a:bodyPr>
        <a:lstStyle/>
        <a:p>
          <a:pPr algn="ctr"/>
          <a:r>
            <a:rPr lang="en-US" sz="4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Hospital</a:t>
          </a:r>
          <a:r>
            <a:rPr lang="en-US" sz="40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Record Analysis</a:t>
          </a:r>
          <a:endParaRPr lang="en-US" sz="4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twoCellAnchor editAs="oneCell">
    <xdr:from>
      <xdr:col>9</xdr:col>
      <xdr:colOff>9525</xdr:colOff>
      <xdr:row>0</xdr:row>
      <xdr:rowOff>114467</xdr:rowOff>
    </xdr:from>
    <xdr:to>
      <xdr:col>10</xdr:col>
      <xdr:colOff>95250</xdr:colOff>
      <xdr:row>4</xdr:row>
      <xdr:rowOff>79709</xdr:rowOff>
    </xdr:to>
    <xdr:pic>
      <xdr:nvPicPr>
        <xdr:cNvPr id="14" name="Picture 13">
          <a:extLst>
            <a:ext uri="{FF2B5EF4-FFF2-40B4-BE49-F238E27FC236}">
              <a16:creationId xmlns:a16="http://schemas.microsoft.com/office/drawing/2014/main" id="{E150C18A-4D83-7630-9B01-34D45D39DA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95925" y="114467"/>
          <a:ext cx="695325" cy="689142"/>
        </a:xfrm>
        <a:prstGeom prst="rect">
          <a:avLst/>
        </a:prstGeom>
      </xdr:spPr>
    </xdr:pic>
    <xdr:clientData/>
  </xdr:twoCellAnchor>
  <xdr:twoCellAnchor>
    <xdr:from>
      <xdr:col>5</xdr:col>
      <xdr:colOff>0</xdr:colOff>
      <xdr:row>5</xdr:row>
      <xdr:rowOff>19217</xdr:rowOff>
    </xdr:from>
    <xdr:to>
      <xdr:col>11</xdr:col>
      <xdr:colOff>341586</xdr:colOff>
      <xdr:row>10</xdr:row>
      <xdr:rowOff>95417</xdr:rowOff>
    </xdr:to>
    <xdr:grpSp>
      <xdr:nvGrpSpPr>
        <xdr:cNvPr id="25" name="Group 24">
          <a:extLst>
            <a:ext uri="{FF2B5EF4-FFF2-40B4-BE49-F238E27FC236}">
              <a16:creationId xmlns:a16="http://schemas.microsoft.com/office/drawing/2014/main" id="{AB2672BA-E1FD-4C16-A628-CD1F39A84FC1}"/>
            </a:ext>
          </a:extLst>
        </xdr:cNvPr>
        <xdr:cNvGrpSpPr/>
      </xdr:nvGrpSpPr>
      <xdr:grpSpPr>
        <a:xfrm>
          <a:off x="3062941" y="915688"/>
          <a:ext cx="4017116" cy="972670"/>
          <a:chOff x="21771" y="555172"/>
          <a:chExt cx="3826412" cy="1001485"/>
        </a:xfrm>
      </xdr:grpSpPr>
      <xdr:sp macro="" textlink="">
        <xdr:nvSpPr>
          <xdr:cNvPr id="26" name="TextBox 25">
            <a:extLst>
              <a:ext uri="{FF2B5EF4-FFF2-40B4-BE49-F238E27FC236}">
                <a16:creationId xmlns:a16="http://schemas.microsoft.com/office/drawing/2014/main" id="{CBD208E5-7B1B-FAE1-AD2A-79F4A334F1F5}"/>
              </a:ext>
            </a:extLst>
          </xdr:cNvPr>
          <xdr:cNvSpPr txBox="1"/>
        </xdr:nvSpPr>
        <xdr:spPr>
          <a:xfrm>
            <a:off x="21771" y="555172"/>
            <a:ext cx="3793066" cy="92528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27" name="TextBox 26">
            <a:extLst>
              <a:ext uri="{FF2B5EF4-FFF2-40B4-BE49-F238E27FC236}">
                <a16:creationId xmlns:a16="http://schemas.microsoft.com/office/drawing/2014/main" id="{EB103755-D04B-618E-AB09-4977026549CE}"/>
              </a:ext>
            </a:extLst>
          </xdr:cNvPr>
          <xdr:cNvSpPr txBox="1"/>
        </xdr:nvSpPr>
        <xdr:spPr>
          <a:xfrm>
            <a:off x="21771" y="568137"/>
            <a:ext cx="3826412" cy="3483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Total</a:t>
            </a:r>
            <a:r>
              <a:rPr lang="en-US" sz="1800" b="1" baseline="0"/>
              <a:t> </a:t>
            </a:r>
            <a:r>
              <a:rPr lang="en-US" sz="1800" b="1"/>
              <a:t>Number of deaths</a:t>
            </a:r>
            <a:r>
              <a:rPr lang="ar-EG" sz="1800" b="1"/>
              <a:t> </a:t>
            </a:r>
            <a:r>
              <a:rPr lang="en-US" sz="1800" b="1"/>
              <a:t>and percentage</a:t>
            </a:r>
          </a:p>
        </xdr:txBody>
      </xdr:sp>
      <xdr:sp macro="" textlink="Sheet2!$H$6">
        <xdr:nvSpPr>
          <xdr:cNvPr id="28" name="TextBox 27">
            <a:extLst>
              <a:ext uri="{FF2B5EF4-FFF2-40B4-BE49-F238E27FC236}">
                <a16:creationId xmlns:a16="http://schemas.microsoft.com/office/drawing/2014/main" id="{0B422FFB-7666-350F-9AB5-FE4332C17667}"/>
              </a:ext>
            </a:extLst>
          </xdr:cNvPr>
          <xdr:cNvSpPr txBox="1"/>
        </xdr:nvSpPr>
        <xdr:spPr>
          <a:xfrm>
            <a:off x="217714" y="925286"/>
            <a:ext cx="816428" cy="555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474D6D38-DEFD-4D91-AC5E-9B7BC904B151}" type="TxLink">
              <a:rPr lang="en-US" sz="3600" b="0" i="0" u="none" strike="noStrike">
                <a:solidFill>
                  <a:srgbClr val="000000"/>
                </a:solidFill>
                <a:latin typeface="Algerian" panose="04020705040A02060702" pitchFamily="82" charset="0"/>
                <a:ea typeface="Calibri"/>
                <a:cs typeface="Calibri"/>
              </a:rPr>
              <a:pPr algn="ctr"/>
              <a:t>334</a:t>
            </a:fld>
            <a:endParaRPr lang="en-US" sz="8800">
              <a:latin typeface="Algerian" panose="04020705040A02060702" pitchFamily="82" charset="0"/>
            </a:endParaRPr>
          </a:p>
        </xdr:txBody>
      </xdr:sp>
      <xdr:pic>
        <xdr:nvPicPr>
          <xdr:cNvPr id="29" name="Picture 28">
            <a:extLst>
              <a:ext uri="{FF2B5EF4-FFF2-40B4-BE49-F238E27FC236}">
                <a16:creationId xmlns:a16="http://schemas.microsoft.com/office/drawing/2014/main" id="{31B2FFC1-E837-786B-D490-AF3A27075DD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2955144" y="825137"/>
            <a:ext cx="700258" cy="731520"/>
          </a:xfrm>
          <a:prstGeom prst="rect">
            <a:avLst/>
          </a:prstGeom>
        </xdr:spPr>
      </xdr:pic>
    </xdr:grpSp>
    <xdr:clientData/>
  </xdr:twoCellAnchor>
  <xdr:twoCellAnchor>
    <xdr:from>
      <xdr:col>0</xdr:col>
      <xdr:colOff>0</xdr:colOff>
      <xdr:row>5</xdr:row>
      <xdr:rowOff>19217</xdr:rowOff>
    </xdr:from>
    <xdr:to>
      <xdr:col>5</xdr:col>
      <xdr:colOff>0</xdr:colOff>
      <xdr:row>10</xdr:row>
      <xdr:rowOff>19217</xdr:rowOff>
    </xdr:to>
    <xdr:grpSp>
      <xdr:nvGrpSpPr>
        <xdr:cNvPr id="30" name="Group 29">
          <a:extLst>
            <a:ext uri="{FF2B5EF4-FFF2-40B4-BE49-F238E27FC236}">
              <a16:creationId xmlns:a16="http://schemas.microsoft.com/office/drawing/2014/main" id="{1B379446-DBB4-4B29-8EE5-A954BF0C4985}"/>
            </a:ext>
          </a:extLst>
        </xdr:cNvPr>
        <xdr:cNvGrpSpPr/>
      </xdr:nvGrpSpPr>
      <xdr:grpSpPr>
        <a:xfrm>
          <a:off x="0" y="915688"/>
          <a:ext cx="3062941" cy="896470"/>
          <a:chOff x="21771" y="555172"/>
          <a:chExt cx="3048000" cy="925285"/>
        </a:xfrm>
      </xdr:grpSpPr>
      <xdr:sp macro="" textlink="">
        <xdr:nvSpPr>
          <xdr:cNvPr id="31" name="TextBox 30">
            <a:extLst>
              <a:ext uri="{FF2B5EF4-FFF2-40B4-BE49-F238E27FC236}">
                <a16:creationId xmlns:a16="http://schemas.microsoft.com/office/drawing/2014/main" id="{23D571C6-1025-6B23-55D5-3BFA84E0C20E}"/>
              </a:ext>
            </a:extLst>
          </xdr:cNvPr>
          <xdr:cNvSpPr txBox="1"/>
        </xdr:nvSpPr>
        <xdr:spPr>
          <a:xfrm>
            <a:off x="21771" y="555172"/>
            <a:ext cx="3048000" cy="92528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32" name="TextBox 31">
            <a:extLst>
              <a:ext uri="{FF2B5EF4-FFF2-40B4-BE49-F238E27FC236}">
                <a16:creationId xmlns:a16="http://schemas.microsoft.com/office/drawing/2014/main" id="{076710F5-692F-D5A4-6B8B-46323C542B49}"/>
              </a:ext>
            </a:extLst>
          </xdr:cNvPr>
          <xdr:cNvSpPr txBox="1"/>
        </xdr:nvSpPr>
        <xdr:spPr>
          <a:xfrm>
            <a:off x="43542" y="568134"/>
            <a:ext cx="2721428" cy="370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Total number of patients</a:t>
            </a:r>
          </a:p>
        </xdr:txBody>
      </xdr:sp>
      <xdr:sp macro="" textlink="Sheet2!$G$3">
        <xdr:nvSpPr>
          <xdr:cNvPr id="33" name="TextBox 32">
            <a:extLst>
              <a:ext uri="{FF2B5EF4-FFF2-40B4-BE49-F238E27FC236}">
                <a16:creationId xmlns:a16="http://schemas.microsoft.com/office/drawing/2014/main" id="{EBCE505F-DD08-13A6-CE46-4EFA06E4226C}"/>
              </a:ext>
            </a:extLst>
          </xdr:cNvPr>
          <xdr:cNvSpPr txBox="1"/>
        </xdr:nvSpPr>
        <xdr:spPr>
          <a:xfrm>
            <a:off x="424543" y="925286"/>
            <a:ext cx="1828800" cy="5551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80ABF3AC-E3B6-4E53-B0F6-1C1DFE47F40C}" type="TxLink">
              <a:rPr lang="en-US" sz="3600" b="0" i="0" u="none" strike="noStrike">
                <a:solidFill>
                  <a:srgbClr val="000000"/>
                </a:solidFill>
                <a:latin typeface="Algerian" panose="04020705040A02060702" pitchFamily="82" charset="0"/>
                <a:ea typeface="Calibri"/>
                <a:cs typeface="Calibri"/>
              </a:rPr>
              <a:pPr algn="ctr"/>
              <a:t>403</a:t>
            </a:fld>
            <a:endParaRPr lang="en-US" sz="3600">
              <a:latin typeface="Algerian" panose="04020705040A02060702" pitchFamily="82" charset="0"/>
            </a:endParaRPr>
          </a:p>
        </xdr:txBody>
      </xdr:sp>
      <xdr:pic>
        <xdr:nvPicPr>
          <xdr:cNvPr id="34" name="Picture 33">
            <a:extLst>
              <a:ext uri="{FF2B5EF4-FFF2-40B4-BE49-F238E27FC236}">
                <a16:creationId xmlns:a16="http://schemas.microsoft.com/office/drawing/2014/main" id="{D21A2CB3-E757-2CB1-3587-7B5F2AB65BE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316480" y="732608"/>
            <a:ext cx="731520" cy="747849"/>
          </a:xfrm>
          <a:prstGeom prst="rect">
            <a:avLst/>
          </a:prstGeom>
          <a:ln>
            <a:noFill/>
          </a:ln>
        </xdr:spPr>
      </xdr:pic>
    </xdr:grpSp>
    <xdr:clientData/>
  </xdr:twoCellAnchor>
  <xdr:twoCellAnchor>
    <xdr:from>
      <xdr:col>7</xdr:col>
      <xdr:colOff>0</xdr:colOff>
      <xdr:row>7</xdr:row>
      <xdr:rowOff>19217</xdr:rowOff>
    </xdr:from>
    <xdr:to>
      <xdr:col>9</xdr:col>
      <xdr:colOff>0</xdr:colOff>
      <xdr:row>10</xdr:row>
      <xdr:rowOff>19217</xdr:rowOff>
    </xdr:to>
    <xdr:sp macro="" textlink="Sheet2!$H$10">
      <xdr:nvSpPr>
        <xdr:cNvPr id="35" name="TextBox 34">
          <a:extLst>
            <a:ext uri="{FF2B5EF4-FFF2-40B4-BE49-F238E27FC236}">
              <a16:creationId xmlns:a16="http://schemas.microsoft.com/office/drawing/2014/main" id="{5F4A28B7-BEDC-4433-BB8C-1831AF00A6B9}"/>
            </a:ext>
          </a:extLst>
        </xdr:cNvPr>
        <xdr:cNvSpPr txBox="1"/>
      </xdr:nvSpPr>
      <xdr:spPr>
        <a:xfrm>
          <a:off x="4267200" y="1286042"/>
          <a:ext cx="1219200"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8CE54626-24BD-4808-91F2-BFA33DD0752D}" type="TxLink">
            <a:rPr lang="en-US" sz="3600" b="0" i="0" u="none" strike="noStrike">
              <a:solidFill>
                <a:srgbClr val="000000"/>
              </a:solidFill>
              <a:latin typeface="Algerian" panose="04020705040A02060702" pitchFamily="82" charset="0"/>
              <a:ea typeface="Calibri"/>
              <a:cs typeface="Calibri"/>
            </a:rPr>
            <a:pPr algn="ctr"/>
            <a:t>17%</a:t>
          </a:fld>
          <a:endParaRPr lang="en-US" sz="8800">
            <a:latin typeface="Algerian" panose="04020705040A02060702" pitchFamily="82" charset="0"/>
          </a:endParaRPr>
        </a:p>
      </xdr:txBody>
    </xdr:sp>
    <xdr:clientData/>
  </xdr:twoCellAnchor>
  <xdr:twoCellAnchor>
    <xdr:from>
      <xdr:col>11</xdr:col>
      <xdr:colOff>304800</xdr:colOff>
      <xdr:row>5</xdr:row>
      <xdr:rowOff>23460</xdr:rowOff>
    </xdr:from>
    <xdr:to>
      <xdr:col>18</xdr:col>
      <xdr:colOff>365512</xdr:colOff>
      <xdr:row>10</xdr:row>
      <xdr:rowOff>23459</xdr:rowOff>
    </xdr:to>
    <xdr:grpSp>
      <xdr:nvGrpSpPr>
        <xdr:cNvPr id="36" name="Group 35">
          <a:extLst>
            <a:ext uri="{FF2B5EF4-FFF2-40B4-BE49-F238E27FC236}">
              <a16:creationId xmlns:a16="http://schemas.microsoft.com/office/drawing/2014/main" id="{9618BACF-79EB-4335-B46B-DE06044CEDDF}"/>
            </a:ext>
          </a:extLst>
        </xdr:cNvPr>
        <xdr:cNvGrpSpPr/>
      </xdr:nvGrpSpPr>
      <xdr:grpSpPr>
        <a:xfrm>
          <a:off x="7043271" y="919931"/>
          <a:ext cx="4348829" cy="896469"/>
          <a:chOff x="-155378" y="562883"/>
          <a:chExt cx="4141569" cy="925285"/>
        </a:xfrm>
      </xdr:grpSpPr>
      <xdr:sp macro="" textlink="">
        <xdr:nvSpPr>
          <xdr:cNvPr id="37" name="TextBox 36">
            <a:extLst>
              <a:ext uri="{FF2B5EF4-FFF2-40B4-BE49-F238E27FC236}">
                <a16:creationId xmlns:a16="http://schemas.microsoft.com/office/drawing/2014/main" id="{81D9BD04-B585-4941-5225-1BFF5699D6DE}"/>
              </a:ext>
            </a:extLst>
          </xdr:cNvPr>
          <xdr:cNvSpPr txBox="1"/>
        </xdr:nvSpPr>
        <xdr:spPr>
          <a:xfrm>
            <a:off x="-155378" y="562883"/>
            <a:ext cx="4141569" cy="92528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38" name="TextBox 37">
            <a:extLst>
              <a:ext uri="{FF2B5EF4-FFF2-40B4-BE49-F238E27FC236}">
                <a16:creationId xmlns:a16="http://schemas.microsoft.com/office/drawing/2014/main" id="{2676DC20-D773-BAE2-4093-5A09E9DBDE87}"/>
              </a:ext>
            </a:extLst>
          </xdr:cNvPr>
          <xdr:cNvSpPr txBox="1"/>
        </xdr:nvSpPr>
        <xdr:spPr>
          <a:xfrm>
            <a:off x="-92681" y="572797"/>
            <a:ext cx="4037206" cy="2909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Total</a:t>
            </a:r>
            <a:r>
              <a:rPr lang="en-US" sz="1800" b="1" baseline="0"/>
              <a:t> </a:t>
            </a:r>
            <a:r>
              <a:rPr lang="en-US" sz="1800" b="1"/>
              <a:t>Number of survivors and percentage</a:t>
            </a:r>
          </a:p>
        </xdr:txBody>
      </xdr:sp>
      <xdr:sp macro="" textlink="Sheet2!$H$6">
        <xdr:nvSpPr>
          <xdr:cNvPr id="39" name="TextBox 38">
            <a:extLst>
              <a:ext uri="{FF2B5EF4-FFF2-40B4-BE49-F238E27FC236}">
                <a16:creationId xmlns:a16="http://schemas.microsoft.com/office/drawing/2014/main" id="{7D6389E1-ABAD-E393-D389-AC981ACE50FD}"/>
              </a:ext>
            </a:extLst>
          </xdr:cNvPr>
          <xdr:cNvSpPr txBox="1"/>
        </xdr:nvSpPr>
        <xdr:spPr>
          <a:xfrm>
            <a:off x="217714" y="925286"/>
            <a:ext cx="1085780" cy="555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7782F38E-F53B-405A-B265-E1B45919C12B}" type="TxLink">
              <a:rPr lang="en-US" sz="3600" b="0" i="0" u="none" strike="noStrike">
                <a:solidFill>
                  <a:srgbClr val="000000"/>
                </a:solidFill>
                <a:latin typeface="Algerian" panose="04020705040A02060702" pitchFamily="82" charset="0"/>
                <a:ea typeface="Calibri"/>
                <a:cs typeface="Calibri"/>
              </a:rPr>
              <a:pPr algn="ctr"/>
              <a:t>334</a:t>
            </a:fld>
            <a:endParaRPr lang="en-US" sz="213200">
              <a:latin typeface="Algerian" panose="04020705040A02060702" pitchFamily="82" charset="0"/>
            </a:endParaRPr>
          </a:p>
        </xdr:txBody>
      </xdr:sp>
      <xdr:pic>
        <xdr:nvPicPr>
          <xdr:cNvPr id="40" name="Picture 39">
            <a:extLst>
              <a:ext uri="{FF2B5EF4-FFF2-40B4-BE49-F238E27FC236}">
                <a16:creationId xmlns:a16="http://schemas.microsoft.com/office/drawing/2014/main" id="{67427B05-51FC-6A6A-948B-8CEE702EA91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3201510" y="828766"/>
            <a:ext cx="612726" cy="640080"/>
          </a:xfrm>
          <a:prstGeom prst="rect">
            <a:avLst/>
          </a:prstGeom>
        </xdr:spPr>
      </xdr:pic>
    </xdr:grpSp>
    <xdr:clientData/>
  </xdr:twoCellAnchor>
  <xdr:twoCellAnchor>
    <xdr:from>
      <xdr:col>14</xdr:col>
      <xdr:colOff>272143</xdr:colOff>
      <xdr:row>7</xdr:row>
      <xdr:rowOff>19217</xdr:rowOff>
    </xdr:from>
    <xdr:to>
      <xdr:col>16</xdr:col>
      <xdr:colOff>272143</xdr:colOff>
      <xdr:row>10</xdr:row>
      <xdr:rowOff>19217</xdr:rowOff>
    </xdr:to>
    <xdr:sp macro="" textlink="Sheet2!$H$11">
      <xdr:nvSpPr>
        <xdr:cNvPr id="41" name="TextBox 40">
          <a:extLst>
            <a:ext uri="{FF2B5EF4-FFF2-40B4-BE49-F238E27FC236}">
              <a16:creationId xmlns:a16="http://schemas.microsoft.com/office/drawing/2014/main" id="{91FDAC91-85EE-44D0-B6F8-7A8C3D44DA11}"/>
            </a:ext>
          </a:extLst>
        </xdr:cNvPr>
        <xdr:cNvSpPr txBox="1"/>
      </xdr:nvSpPr>
      <xdr:spPr>
        <a:xfrm>
          <a:off x="8806543" y="1286042"/>
          <a:ext cx="1219200"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547E280E-8EF1-4F1D-A4C3-714AC6EEA054}" type="TxLink">
            <a:rPr lang="en-US" sz="3600" b="0" i="0" u="none" strike="noStrike">
              <a:solidFill>
                <a:srgbClr val="000000"/>
              </a:solidFill>
              <a:latin typeface="Algerian" panose="04020705040A02060702" pitchFamily="82" charset="0"/>
              <a:ea typeface="Calibri"/>
              <a:cs typeface="Calibri"/>
            </a:rPr>
            <a:pPr algn="ctr"/>
            <a:t>83%</a:t>
          </a:fld>
          <a:endParaRPr lang="en-US" sz="41300">
            <a:latin typeface="Algerian" panose="04020705040A02060702" pitchFamily="82" charset="0"/>
          </a:endParaRPr>
        </a:p>
      </xdr:txBody>
    </xdr:sp>
    <xdr:clientData/>
  </xdr:twoCellAnchor>
  <xdr:twoCellAnchor editAs="oneCell">
    <xdr:from>
      <xdr:col>19</xdr:col>
      <xdr:colOff>5687</xdr:colOff>
      <xdr:row>6</xdr:row>
      <xdr:rowOff>126232</xdr:rowOff>
    </xdr:from>
    <xdr:to>
      <xdr:col>22</xdr:col>
      <xdr:colOff>277338</xdr:colOff>
      <xdr:row>10</xdr:row>
      <xdr:rowOff>30802</xdr:rowOff>
    </xdr:to>
    <mc:AlternateContent xmlns:mc="http://schemas.openxmlformats.org/markup-compatibility/2006" xmlns:a14="http://schemas.microsoft.com/office/drawing/2010/main">
      <mc:Choice Requires="a14">
        <xdr:graphicFrame macro="">
          <xdr:nvGraphicFramePr>
            <xdr:cNvPr id="5" name="Risk Category">
              <a:extLst>
                <a:ext uri="{FF2B5EF4-FFF2-40B4-BE49-F238E27FC236}">
                  <a16:creationId xmlns:a16="http://schemas.microsoft.com/office/drawing/2014/main" id="{41EEA263-B6BF-2951-3587-C41C942BC44A}"/>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11644863" y="1201997"/>
              <a:ext cx="2109416" cy="621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341</xdr:colOff>
      <xdr:row>3</xdr:row>
      <xdr:rowOff>9525</xdr:rowOff>
    </xdr:from>
    <xdr:to>
      <xdr:col>22</xdr:col>
      <xdr:colOff>267812</xdr:colOff>
      <xdr:row>6</xdr:row>
      <xdr:rowOff>118383</xdr:rowOff>
    </xdr:to>
    <mc:AlternateContent xmlns:mc="http://schemas.openxmlformats.org/markup-compatibility/2006" xmlns:a14="http://schemas.microsoft.com/office/drawing/2010/main">
      <mc:Choice Requires="a14">
        <xdr:graphicFrame macro="">
          <xdr:nvGraphicFramePr>
            <xdr:cNvPr id="6" name="Outcome">
              <a:extLst>
                <a:ext uri="{FF2B5EF4-FFF2-40B4-BE49-F238E27FC236}">
                  <a16:creationId xmlns:a16="http://schemas.microsoft.com/office/drawing/2014/main" id="{C01E1010-BFCC-05DF-006C-2EF511A66A9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11639517" y="547407"/>
              <a:ext cx="2105236" cy="646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169544</xdr:colOff>
      <xdr:row>0</xdr:row>
      <xdr:rowOff>0</xdr:rowOff>
    </xdr:from>
    <xdr:to>
      <xdr:col>18</xdr:col>
      <xdr:colOff>596264</xdr:colOff>
      <xdr:row>5</xdr:row>
      <xdr:rowOff>17145</xdr:rowOff>
    </xdr:to>
    <mc:AlternateContent xmlns:mc="http://schemas.openxmlformats.org/markup-compatibility/2006" xmlns:tsle="http://schemas.microsoft.com/office/drawing/2012/timeslicer">
      <mc:Choice Requires="tsle">
        <xdr:graphicFrame macro="">
          <xdr:nvGraphicFramePr>
            <xdr:cNvPr id="13" name="Check in Date">
              <a:extLst>
                <a:ext uri="{FF2B5EF4-FFF2-40B4-BE49-F238E27FC236}">
                  <a16:creationId xmlns:a16="http://schemas.microsoft.com/office/drawing/2014/main" id="{224C2B5A-5560-1E96-7E25-EFDBD9E6663D}"/>
                </a:ext>
              </a:extLst>
            </xdr:cNvPr>
            <xdr:cNvGraphicFramePr/>
          </xdr:nvGraphicFramePr>
          <xdr:xfrm>
            <a:off x="0" y="0"/>
            <a:ext cx="0" cy="0"/>
          </xdr:xfrm>
          <a:graphic>
            <a:graphicData uri="http://schemas.microsoft.com/office/drawing/2012/timeslicer">
              <tsle:timeslicer name="Check in Date"/>
            </a:graphicData>
          </a:graphic>
        </xdr:graphicFrame>
      </mc:Choice>
      <mc:Fallback xmlns="">
        <xdr:sp macro="" textlink="">
          <xdr:nvSpPr>
            <xdr:cNvPr id="0" name=""/>
            <xdr:cNvSpPr>
              <a:spLocks noTextEdit="1"/>
            </xdr:cNvSpPr>
          </xdr:nvSpPr>
          <xdr:spPr>
            <a:xfrm>
              <a:off x="6295426" y="0"/>
              <a:ext cx="5327426" cy="9136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aleh" refreshedDate="46098.404347569442" createdVersion="8" refreshedVersion="8" minRefreshableVersion="3" recordCount="403" xr:uid="{03D22510-4799-4563-8EC7-E1FEF21532F8}">
  <cacheSource type="worksheet">
    <worksheetSource ref="A1:D404" sheet="Sheet2"/>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2019-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9-12-21"/>
        </groupItems>
      </fieldGroup>
    </cacheField>
    <cacheField name="Months (Check in Date)" numFmtId="0" databaseField="0">
      <fieldGroup base="1">
        <rangePr groupBy="months" startDate="2019-01-01T00:00:00" endDate="2019-12-21T00:00:00"/>
        <groupItems count="14">
          <s v="&lt;2019-01-01"/>
          <s v="Jan"/>
          <s v="Feb"/>
          <s v="Mar"/>
          <s v="Apr"/>
          <s v="May"/>
          <s v="Jun"/>
          <s v="Jul"/>
          <s v="Aug"/>
          <s v="Sep"/>
          <s v="Oct"/>
          <s v="Nov"/>
          <s v="Dec"/>
          <s v="&gt;2019-12-21"/>
        </groupItems>
      </fieldGroup>
    </cacheField>
  </cacheFields>
  <extLst>
    <ext xmlns:x14="http://schemas.microsoft.com/office/spreadsheetml/2009/9/main" uri="{725AE2AE-9491-48be-B2B4-4EB974FC3084}">
      <x14:pivotCacheDefinition pivotCacheId="1113872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59A53A-9BE2-4437-A499-32178FE6B778}"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6">
  <location ref="G9:H11" firstHeaderRow="1" firstDataRow="1"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dataField="1"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x v="1"/>
    </i>
  </rowItems>
  <colItems count="1">
    <i/>
  </colItems>
  <dataFields count="1">
    <dataField name="Count of Outcome" fld="3" subtotal="count" showDataAs="percentOfTotal" baseField="3" baseItem="0" numFmtId="9"/>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E68199-F5EC-455E-B146-C7FA5FE7BDF8}"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O18:Q21"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i>
    <i>
      <x v="1"/>
    </i>
  </rowItems>
  <colFields count="1">
    <field x="2"/>
  </colFields>
  <colItems count="2">
    <i>
      <x/>
    </i>
    <i>
      <x v="1"/>
    </i>
  </colItems>
  <dataFields count="1">
    <dataField name="Count of Visit ID" fld="0" subtotal="count" showDataAs="percentOfCol" baseField="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CFB495-3BB2-45DD-AA22-AA4C226F1C7A}"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G5:H7" firstHeaderRow="1" firstDataRow="1"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dataField="1" showAll="0" sortType="descending">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x v="1"/>
    </i>
  </rowItems>
  <colItems count="1">
    <i/>
  </colItems>
  <dataFields count="1">
    <dataField name="Count of Outcome"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E402EE-B412-421A-A151-6B4F51A075B0}" name="PivotTable5"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19">
  <location ref="G13:H16" firstHeaderRow="1" firstDataRow="1"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dataField="1"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Risk Category" fld="2" subtotal="count" showDataAs="percentOfTotal" baseField="0" baseItem="0" numFmtId="9"/>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7" format="7">
      <pivotArea type="data" outline="0" fieldPosition="0">
        <references count="1">
          <reference field="4294967294" count="1" selected="0">
            <x v="0"/>
          </reference>
        </references>
      </pivotArea>
    </chartFormat>
    <chartFormat chart="7" format="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D36A4-73B5-4526-A7A9-33474046C8AE}" name="PivotTable1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K17:L30" firstHeaderRow="1" firstDataRow="2"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dataField="1"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Outcome" fld="3" subtotal="count" showDataAs="percentDiff" baseField="5" baseItem="1048828" numFmtId="9"/>
  </dataFields>
  <chartFormats count="34">
    <chartFormat chart="2" format="3" series="1">
      <pivotArea type="data" outline="0" fieldPosition="0">
        <references count="1">
          <reference field="5" count="1" selected="0">
            <x v="2"/>
          </reference>
        </references>
      </pivotArea>
    </chartFormat>
    <chartFormat chart="2" format="4" series="1">
      <pivotArea type="data" outline="0" fieldPosition="0">
        <references count="1">
          <reference field="5" count="1" selected="0">
            <x v="3"/>
          </reference>
        </references>
      </pivotArea>
    </chartFormat>
    <chartFormat chart="2" format="5" series="1">
      <pivotArea type="data" outline="0" fieldPosition="0">
        <references count="1">
          <reference field="5" count="1" selected="0">
            <x v="4"/>
          </reference>
        </references>
      </pivotArea>
    </chartFormat>
    <chartFormat chart="2" format="6" series="1">
      <pivotArea type="data" outline="0" fieldPosition="0">
        <references count="1">
          <reference field="5" count="1" selected="0">
            <x v="5"/>
          </reference>
        </references>
      </pivotArea>
    </chartFormat>
    <chartFormat chart="2" format="7" series="1">
      <pivotArea type="data" outline="0" fieldPosition="0">
        <references count="1">
          <reference field="5" count="1" selected="0">
            <x v="6"/>
          </reference>
        </references>
      </pivotArea>
    </chartFormat>
    <chartFormat chart="2" format="8" series="1">
      <pivotArea type="data" outline="0" fieldPosition="0">
        <references count="1">
          <reference field="5" count="1" selected="0">
            <x v="7"/>
          </reference>
        </references>
      </pivotArea>
    </chartFormat>
    <chartFormat chart="2" format="9" series="1">
      <pivotArea type="data" outline="0" fieldPosition="0">
        <references count="1">
          <reference field="5" count="1" selected="0">
            <x v="8"/>
          </reference>
        </references>
      </pivotArea>
    </chartFormat>
    <chartFormat chart="2" format="10" series="1">
      <pivotArea type="data" outline="0" fieldPosition="0">
        <references count="1">
          <reference field="5" count="1" selected="0">
            <x v="9"/>
          </reference>
        </references>
      </pivotArea>
    </chartFormat>
    <chartFormat chart="2" format="11" series="1">
      <pivotArea type="data" outline="0" fieldPosition="0">
        <references count="1">
          <reference field="5" count="1" selected="0">
            <x v="10"/>
          </reference>
        </references>
      </pivotArea>
    </chartFormat>
    <chartFormat chart="2" format="12" series="1">
      <pivotArea type="data" outline="0" fieldPosition="0">
        <references count="1">
          <reference field="5" count="1" selected="0">
            <x v="11"/>
          </reference>
        </references>
      </pivotArea>
    </chartFormat>
    <chartFormat chart="2" format="13" series="1">
      <pivotArea type="data" outline="0" fieldPosition="0">
        <references count="1">
          <reference field="5" count="1" selected="0">
            <x v="12"/>
          </reference>
        </references>
      </pivotArea>
    </chartFormat>
    <chartFormat chart="2" format="14" series="1">
      <pivotArea type="data" outline="0" fieldPosition="0">
        <references count="1">
          <reference field="5" count="1" selected="0">
            <x v="1"/>
          </reference>
        </references>
      </pivotArea>
    </chartFormat>
    <chartFormat chart="0" format="3" series="1">
      <pivotArea type="data" outline="0" fieldPosition="0">
        <references count="1">
          <reference field="5" count="1" selected="0">
            <x v="2"/>
          </reference>
        </references>
      </pivotArea>
    </chartFormat>
    <chartFormat chart="0" format="4" series="1">
      <pivotArea type="data" outline="0" fieldPosition="0">
        <references count="1">
          <reference field="5" count="1" selected="0">
            <x v="3"/>
          </reference>
        </references>
      </pivotArea>
    </chartFormat>
    <chartFormat chart="0" format="5" series="1">
      <pivotArea type="data" outline="0" fieldPosition="0">
        <references count="1">
          <reference field="5" count="1" selected="0">
            <x v="4"/>
          </reference>
        </references>
      </pivotArea>
    </chartFormat>
    <chartFormat chart="0" format="6" series="1">
      <pivotArea type="data" outline="0" fieldPosition="0">
        <references count="1">
          <reference field="5" count="1" selected="0">
            <x v="5"/>
          </reference>
        </references>
      </pivotArea>
    </chartFormat>
    <chartFormat chart="0" format="7" series="1">
      <pivotArea type="data" outline="0" fieldPosition="0">
        <references count="1">
          <reference field="5" count="1" selected="0">
            <x v="6"/>
          </reference>
        </references>
      </pivotArea>
    </chartFormat>
    <chartFormat chart="0" format="8" series="1">
      <pivotArea type="data" outline="0" fieldPosition="0">
        <references count="1">
          <reference field="5" count="1" selected="0">
            <x v="7"/>
          </reference>
        </references>
      </pivotArea>
    </chartFormat>
    <chartFormat chart="0" format="9" series="1">
      <pivotArea type="data" outline="0" fieldPosition="0">
        <references count="1">
          <reference field="5" count="1" selected="0">
            <x v="8"/>
          </reference>
        </references>
      </pivotArea>
    </chartFormat>
    <chartFormat chart="0" format="10" series="1">
      <pivotArea type="data" outline="0" fieldPosition="0">
        <references count="1">
          <reference field="5" count="1" selected="0">
            <x v="9"/>
          </reference>
        </references>
      </pivotArea>
    </chartFormat>
    <chartFormat chart="0" format="11" series="1">
      <pivotArea type="data" outline="0" fieldPosition="0">
        <references count="1">
          <reference field="5" count="1" selected="0">
            <x v="10"/>
          </reference>
        </references>
      </pivotArea>
    </chartFormat>
    <chartFormat chart="0" format="12" series="1">
      <pivotArea type="data" outline="0" fieldPosition="0">
        <references count="1">
          <reference field="5" count="1" selected="0">
            <x v="11"/>
          </reference>
        </references>
      </pivotArea>
    </chartFormat>
    <chartFormat chart="0" format="13" series="1">
      <pivotArea type="data" outline="0" fieldPosition="0">
        <references count="1">
          <reference field="5" count="1" selected="0">
            <x v="12"/>
          </reference>
        </references>
      </pivotArea>
    </chartFormat>
    <chartFormat chart="0" format="14" series="1">
      <pivotArea type="data" outline="0" fieldPosition="0">
        <references count="1">
          <reference field="5" count="1" selected="0">
            <x v="1"/>
          </reference>
        </references>
      </pivotArea>
    </chartFormat>
    <chartFormat chart="2" format="15" series="1">
      <pivotArea type="data" outline="0" fieldPosition="0">
        <references count="1">
          <reference field="3" count="1" selected="0">
            <x v="0"/>
          </reference>
        </references>
      </pivotArea>
    </chartFormat>
    <chartFormat chart="2" format="16" series="1">
      <pivotArea type="data" outline="0" fieldPosition="0">
        <references count="1">
          <reference field="3" count="1" selected="0">
            <x v="1"/>
          </reference>
        </references>
      </pivotArea>
    </chartFormat>
    <chartFormat chart="0" format="15" series="1">
      <pivotArea type="data" outline="0" fieldPosition="0">
        <references count="1">
          <reference field="3" count="1" selected="0">
            <x v="0"/>
          </reference>
        </references>
      </pivotArea>
    </chartFormat>
    <chartFormat chart="0" format="16" series="1">
      <pivotArea type="data" outline="0" fieldPosition="0">
        <references count="1">
          <reference field="3" count="1" selected="0">
            <x v="1"/>
          </reference>
        </references>
      </pivotArea>
    </chartFormat>
    <chartFormat chart="2" format="17" series="1">
      <pivotArea type="data" outline="0" fieldPosition="0">
        <references count="2">
          <reference field="4294967294" count="1" selected="0">
            <x v="0"/>
          </reference>
          <reference field="3" count="1" selected="0">
            <x v="1"/>
          </reference>
        </references>
      </pivotArea>
    </chartFormat>
    <chartFormat chart="0" format="17"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3A2695-35B3-4ABD-9E23-A5A1C0B45D94}" name="PivotTable6"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49">
  <location ref="G18:I32" firstHeaderRow="1" firstDataRow="2"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dataField="1"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v="1"/>
    </i>
    <i>
      <x v="2"/>
    </i>
    <i>
      <x v="3"/>
    </i>
    <i>
      <x v="4"/>
    </i>
    <i>
      <x v="5"/>
    </i>
    <i>
      <x v="6"/>
    </i>
    <i>
      <x v="7"/>
    </i>
    <i>
      <x v="8"/>
    </i>
    <i>
      <x v="9"/>
    </i>
    <i>
      <x v="10"/>
    </i>
    <i>
      <x v="11"/>
    </i>
    <i>
      <x v="12"/>
    </i>
    <i t="grand">
      <x/>
    </i>
  </rowItems>
  <colFields count="1">
    <field x="3"/>
  </colFields>
  <colItems count="2">
    <i>
      <x/>
    </i>
    <i>
      <x v="1"/>
    </i>
  </colItems>
  <dataFields count="1">
    <dataField name="Count of Outcome" fld="3" subtotal="count" showDataAs="percentOfRow" baseField="0" baseItem="0" numFmtId="9"/>
  </dataFields>
  <chartFormats count="35">
    <chartFormat chart="2" format="3" series="1">
      <pivotArea type="data" outline="0" fieldPosition="0">
        <references count="1">
          <reference field="5" count="1" selected="0">
            <x v="2"/>
          </reference>
        </references>
      </pivotArea>
    </chartFormat>
    <chartFormat chart="2" format="4" series="1">
      <pivotArea type="data" outline="0" fieldPosition="0">
        <references count="1">
          <reference field="5" count="1" selected="0">
            <x v="3"/>
          </reference>
        </references>
      </pivotArea>
    </chartFormat>
    <chartFormat chart="2" format="5" series="1">
      <pivotArea type="data" outline="0" fieldPosition="0">
        <references count="1">
          <reference field="5" count="1" selected="0">
            <x v="4"/>
          </reference>
        </references>
      </pivotArea>
    </chartFormat>
    <chartFormat chart="2" format="6" series="1">
      <pivotArea type="data" outline="0" fieldPosition="0">
        <references count="1">
          <reference field="5" count="1" selected="0">
            <x v="5"/>
          </reference>
        </references>
      </pivotArea>
    </chartFormat>
    <chartFormat chart="2" format="7" series="1">
      <pivotArea type="data" outline="0" fieldPosition="0">
        <references count="1">
          <reference field="5" count="1" selected="0">
            <x v="6"/>
          </reference>
        </references>
      </pivotArea>
    </chartFormat>
    <chartFormat chart="2" format="8" series="1">
      <pivotArea type="data" outline="0" fieldPosition="0">
        <references count="1">
          <reference field="5" count="1" selected="0">
            <x v="7"/>
          </reference>
        </references>
      </pivotArea>
    </chartFormat>
    <chartFormat chart="2" format="9" series="1">
      <pivotArea type="data" outline="0" fieldPosition="0">
        <references count="1">
          <reference field="5" count="1" selected="0">
            <x v="8"/>
          </reference>
        </references>
      </pivotArea>
    </chartFormat>
    <chartFormat chart="2" format="10" series="1">
      <pivotArea type="data" outline="0" fieldPosition="0">
        <references count="1">
          <reference field="5" count="1" selected="0">
            <x v="9"/>
          </reference>
        </references>
      </pivotArea>
    </chartFormat>
    <chartFormat chart="2" format="11" series="1">
      <pivotArea type="data" outline="0" fieldPosition="0">
        <references count="1">
          <reference field="5" count="1" selected="0">
            <x v="10"/>
          </reference>
        </references>
      </pivotArea>
    </chartFormat>
    <chartFormat chart="2" format="12" series="1">
      <pivotArea type="data" outline="0" fieldPosition="0">
        <references count="1">
          <reference field="5" count="1" selected="0">
            <x v="11"/>
          </reference>
        </references>
      </pivotArea>
    </chartFormat>
    <chartFormat chart="2" format="13" series="1">
      <pivotArea type="data" outline="0" fieldPosition="0">
        <references count="1">
          <reference field="5" count="1" selected="0">
            <x v="12"/>
          </reference>
        </references>
      </pivotArea>
    </chartFormat>
    <chartFormat chart="2" format="14" series="1">
      <pivotArea type="data" outline="0" fieldPosition="0">
        <references count="1">
          <reference field="5" count="1" selected="0">
            <x v="1"/>
          </reference>
        </references>
      </pivotArea>
    </chartFormat>
    <chartFormat chart="0" format="3" series="1">
      <pivotArea type="data" outline="0" fieldPosition="0">
        <references count="1">
          <reference field="5" count="1" selected="0">
            <x v="2"/>
          </reference>
        </references>
      </pivotArea>
    </chartFormat>
    <chartFormat chart="0" format="4" series="1">
      <pivotArea type="data" outline="0" fieldPosition="0">
        <references count="1">
          <reference field="5" count="1" selected="0">
            <x v="3"/>
          </reference>
        </references>
      </pivotArea>
    </chartFormat>
    <chartFormat chart="0" format="5" series="1">
      <pivotArea type="data" outline="0" fieldPosition="0">
        <references count="1">
          <reference field="5" count="1" selected="0">
            <x v="4"/>
          </reference>
        </references>
      </pivotArea>
    </chartFormat>
    <chartFormat chart="0" format="6" series="1">
      <pivotArea type="data" outline="0" fieldPosition="0">
        <references count="1">
          <reference field="5" count="1" selected="0">
            <x v="5"/>
          </reference>
        </references>
      </pivotArea>
    </chartFormat>
    <chartFormat chart="0" format="7" series="1">
      <pivotArea type="data" outline="0" fieldPosition="0">
        <references count="1">
          <reference field="5" count="1" selected="0">
            <x v="6"/>
          </reference>
        </references>
      </pivotArea>
    </chartFormat>
    <chartFormat chart="0" format="8" series="1">
      <pivotArea type="data" outline="0" fieldPosition="0">
        <references count="1">
          <reference field="5" count="1" selected="0">
            <x v="7"/>
          </reference>
        </references>
      </pivotArea>
    </chartFormat>
    <chartFormat chart="0" format="9" series="1">
      <pivotArea type="data" outline="0" fieldPosition="0">
        <references count="1">
          <reference field="5" count="1" selected="0">
            <x v="8"/>
          </reference>
        </references>
      </pivotArea>
    </chartFormat>
    <chartFormat chart="0" format="10" series="1">
      <pivotArea type="data" outline="0" fieldPosition="0">
        <references count="1">
          <reference field="5" count="1" selected="0">
            <x v="9"/>
          </reference>
        </references>
      </pivotArea>
    </chartFormat>
    <chartFormat chart="0" format="11" series="1">
      <pivotArea type="data" outline="0" fieldPosition="0">
        <references count="1">
          <reference field="5" count="1" selected="0">
            <x v="10"/>
          </reference>
        </references>
      </pivotArea>
    </chartFormat>
    <chartFormat chart="0" format="12" series="1">
      <pivotArea type="data" outline="0" fieldPosition="0">
        <references count="1">
          <reference field="5" count="1" selected="0">
            <x v="11"/>
          </reference>
        </references>
      </pivotArea>
    </chartFormat>
    <chartFormat chart="0" format="13" series="1">
      <pivotArea type="data" outline="0" fieldPosition="0">
        <references count="1">
          <reference field="5" count="1" selected="0">
            <x v="12"/>
          </reference>
        </references>
      </pivotArea>
    </chartFormat>
    <chartFormat chart="0" format="14" series="1">
      <pivotArea type="data" outline="0" fieldPosition="0">
        <references count="1">
          <reference field="5" count="1" selected="0">
            <x v="1"/>
          </reference>
        </references>
      </pivotArea>
    </chartFormat>
    <chartFormat chart="2" format="15" series="1">
      <pivotArea type="data" outline="0" fieldPosition="0">
        <references count="1">
          <reference field="3" count="1" selected="0">
            <x v="0"/>
          </reference>
        </references>
      </pivotArea>
    </chartFormat>
    <chartFormat chart="2" format="16" series="1">
      <pivotArea type="data" outline="0" fieldPosition="0">
        <references count="1">
          <reference field="3" count="1" selected="0">
            <x v="1"/>
          </reference>
        </references>
      </pivotArea>
    </chartFormat>
    <chartFormat chart="0" format="15" series="1">
      <pivotArea type="data" outline="0" fieldPosition="0">
        <references count="1">
          <reference field="3" count="1" selected="0">
            <x v="0"/>
          </reference>
        </references>
      </pivotArea>
    </chartFormat>
    <chartFormat chart="0" format="16" series="1">
      <pivotArea type="data" outline="0" fieldPosition="0">
        <references count="1">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7" format="13" series="1">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3">
          <reference field="4294967294" count="1" selected="0">
            <x v="0"/>
          </reference>
          <reference field="3" count="1" selected="0">
            <x v="0"/>
          </reference>
          <reference field="5" count="1" selected="0">
            <x v="1"/>
          </reference>
        </references>
      </pivotArea>
    </chartFormat>
    <chartFormat chart="7" format="15">
      <pivotArea type="data" outline="0" fieldPosition="0">
        <references count="3">
          <reference field="4294967294" count="1" selected="0">
            <x v="0"/>
          </reference>
          <reference field="3" count="1" selected="0">
            <x v="0"/>
          </reference>
          <reference field="5" count="1" selected="0">
            <x v="2"/>
          </reference>
        </references>
      </pivotArea>
    </chartFormat>
    <chartFormat chart="7" format="16" series="1">
      <pivotArea type="data" outline="0" fieldPosition="0">
        <references count="2">
          <reference field="4294967294" count="1" selected="0">
            <x v="0"/>
          </reference>
          <reference field="3" count="1" selected="0">
            <x v="1"/>
          </reference>
        </references>
      </pivotArea>
    </chartFormat>
    <chartFormat chart="7"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7EB71C-97C1-4BEA-9BB9-0F18020380BF}"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K2:M15" firstHeaderRow="1" firstDataRow="2"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dataField="1"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Outcome" fld="3" subtotal="count" showDataAs="difference" baseField="5"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215A54-FA62-4225-8827-0050F7055BA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G3"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3E530F-1C3E-402D-A26A-B055DD550A5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O2:Q16"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 fld="0" subtotal="count" baseField="5" baseItem="3"/>
    <dataField name="Count of Visit ID2" fld="0" subtotal="count" showDataAs="runTotal" baseField="5" baseItem="1"/>
  </dataFields>
  <chartFormats count="26">
    <chartFormat chart="2" format="3" series="1">
      <pivotArea type="data" outline="0" fieldPosition="0">
        <references count="1">
          <reference field="5" count="1" selected="0">
            <x v="2"/>
          </reference>
        </references>
      </pivotArea>
    </chartFormat>
    <chartFormat chart="2" format="4" series="1">
      <pivotArea type="data" outline="0" fieldPosition="0">
        <references count="1">
          <reference field="5" count="1" selected="0">
            <x v="3"/>
          </reference>
        </references>
      </pivotArea>
    </chartFormat>
    <chartFormat chart="2" format="5" series="1">
      <pivotArea type="data" outline="0" fieldPosition="0">
        <references count="1">
          <reference field="5" count="1" selected="0">
            <x v="4"/>
          </reference>
        </references>
      </pivotArea>
    </chartFormat>
    <chartFormat chart="2" format="6" series="1">
      <pivotArea type="data" outline="0" fieldPosition="0">
        <references count="1">
          <reference field="5" count="1" selected="0">
            <x v="5"/>
          </reference>
        </references>
      </pivotArea>
    </chartFormat>
    <chartFormat chart="2" format="7" series="1">
      <pivotArea type="data" outline="0" fieldPosition="0">
        <references count="1">
          <reference field="5" count="1" selected="0">
            <x v="6"/>
          </reference>
        </references>
      </pivotArea>
    </chartFormat>
    <chartFormat chart="2" format="8" series="1">
      <pivotArea type="data" outline="0" fieldPosition="0">
        <references count="1">
          <reference field="5" count="1" selected="0">
            <x v="7"/>
          </reference>
        </references>
      </pivotArea>
    </chartFormat>
    <chartFormat chart="2" format="9" series="1">
      <pivotArea type="data" outline="0" fieldPosition="0">
        <references count="1">
          <reference field="5" count="1" selected="0">
            <x v="8"/>
          </reference>
        </references>
      </pivotArea>
    </chartFormat>
    <chartFormat chart="2" format="10" series="1">
      <pivotArea type="data" outline="0" fieldPosition="0">
        <references count="1">
          <reference field="5" count="1" selected="0">
            <x v="9"/>
          </reference>
        </references>
      </pivotArea>
    </chartFormat>
    <chartFormat chart="2" format="11" series="1">
      <pivotArea type="data" outline="0" fieldPosition="0">
        <references count="1">
          <reference field="5" count="1" selected="0">
            <x v="10"/>
          </reference>
        </references>
      </pivotArea>
    </chartFormat>
    <chartFormat chart="2" format="12" series="1">
      <pivotArea type="data" outline="0" fieldPosition="0">
        <references count="1">
          <reference field="5" count="1" selected="0">
            <x v="11"/>
          </reference>
        </references>
      </pivotArea>
    </chartFormat>
    <chartFormat chart="2" format="13" series="1">
      <pivotArea type="data" outline="0" fieldPosition="0">
        <references count="1">
          <reference field="5" count="1" selected="0">
            <x v="12"/>
          </reference>
        </references>
      </pivotArea>
    </chartFormat>
    <chartFormat chart="2" format="14" series="1">
      <pivotArea type="data" outline="0" fieldPosition="0">
        <references count="1">
          <reference field="5" count="1" selected="0">
            <x v="1"/>
          </reference>
        </references>
      </pivotArea>
    </chartFormat>
    <chartFormat chart="0" format="3" series="1">
      <pivotArea type="data" outline="0" fieldPosition="0">
        <references count="1">
          <reference field="5" count="1" selected="0">
            <x v="2"/>
          </reference>
        </references>
      </pivotArea>
    </chartFormat>
    <chartFormat chart="0" format="4" series="1">
      <pivotArea type="data" outline="0" fieldPosition="0">
        <references count="1">
          <reference field="5" count="1" selected="0">
            <x v="3"/>
          </reference>
        </references>
      </pivotArea>
    </chartFormat>
    <chartFormat chart="0" format="5" series="1">
      <pivotArea type="data" outline="0" fieldPosition="0">
        <references count="1">
          <reference field="5" count="1" selected="0">
            <x v="4"/>
          </reference>
        </references>
      </pivotArea>
    </chartFormat>
    <chartFormat chart="0" format="6" series="1">
      <pivotArea type="data" outline="0" fieldPosition="0">
        <references count="1">
          <reference field="5" count="1" selected="0">
            <x v="5"/>
          </reference>
        </references>
      </pivotArea>
    </chartFormat>
    <chartFormat chart="0" format="7" series="1">
      <pivotArea type="data" outline="0" fieldPosition="0">
        <references count="1">
          <reference field="5" count="1" selected="0">
            <x v="6"/>
          </reference>
        </references>
      </pivotArea>
    </chartFormat>
    <chartFormat chart="0" format="8" series="1">
      <pivotArea type="data" outline="0" fieldPosition="0">
        <references count="1">
          <reference field="5" count="1" selected="0">
            <x v="7"/>
          </reference>
        </references>
      </pivotArea>
    </chartFormat>
    <chartFormat chart="0" format="9" series="1">
      <pivotArea type="data" outline="0" fieldPosition="0">
        <references count="1">
          <reference field="5" count="1" selected="0">
            <x v="8"/>
          </reference>
        </references>
      </pivotArea>
    </chartFormat>
    <chartFormat chart="0" format="10" series="1">
      <pivotArea type="data" outline="0" fieldPosition="0">
        <references count="1">
          <reference field="5" count="1" selected="0">
            <x v="9"/>
          </reference>
        </references>
      </pivotArea>
    </chartFormat>
    <chartFormat chart="0" format="11" series="1">
      <pivotArea type="data" outline="0" fieldPosition="0">
        <references count="1">
          <reference field="5" count="1" selected="0">
            <x v="10"/>
          </reference>
        </references>
      </pivotArea>
    </chartFormat>
    <chartFormat chart="0" format="12" series="1">
      <pivotArea type="data" outline="0" fieldPosition="0">
        <references count="1">
          <reference field="5" count="1" selected="0">
            <x v="11"/>
          </reference>
        </references>
      </pivotArea>
    </chartFormat>
    <chartFormat chart="0" format="13" series="1">
      <pivotArea type="data" outline="0" fieldPosition="0">
        <references count="1">
          <reference field="5" count="1" selected="0">
            <x v="12"/>
          </reference>
        </references>
      </pivotArea>
    </chartFormat>
    <chartFormat chart="0" format="14" series="1">
      <pivotArea type="data" outline="0" fieldPosition="0">
        <references count="1">
          <reference field="5"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3B502D56-2249-4F32-A67E-8E0DF49C0706}" sourceName="Risk Category">
  <pivotTables>
    <pivotTable tabId="3" name="PivotTable6"/>
    <pivotTable tabId="3" name="PivotTable1"/>
    <pivotTable tabId="3" name="PivotTable13"/>
    <pivotTable tabId="3" name="PivotTable2"/>
    <pivotTable tabId="3" name="PivotTable3"/>
    <pivotTable tabId="3" name="PivotTable4"/>
    <pivotTable tabId="3" name="PivotTable5"/>
    <pivotTable tabId="3" name="PivotTable12"/>
  </pivotTables>
  <data>
    <tabular pivotCacheId="11138722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B7A3E5A0-13E3-42E2-92B7-9ADCDD6412CF}" sourceName="Outcome">
  <pivotTables>
    <pivotTable tabId="3" name="PivotTable1"/>
    <pivotTable tabId="3" name="PivotTable13"/>
    <pivotTable tabId="3" name="PivotTable2"/>
    <pivotTable tabId="3" name="PivotTable3"/>
    <pivotTable tabId="3" name="PivotTable4"/>
    <pivotTable tabId="3" name="PivotTable5"/>
    <pivotTable tabId="3" name="PivotTable6"/>
  </pivotTables>
  <data>
    <tabular pivotCacheId="11138722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9464E2E1-583B-414A-8BE0-C13B6440AFC6}" cache="Slicer_Risk_Category" caption="Risk Category" columnCount="2" style="SlicerStyleDark6" rowHeight="234950"/>
  <slicer name="Outcome" xr10:uid="{2EEAC72C-B07C-463A-940A-D767C213061C}" cache="Slicer_Outcome" caption="Outcome" columnCount="2"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2E3A86EE-864B-4255-8F55-8794F1A8208E}" sourceName="Check in Date">
  <pivotTables>
    <pivotTable tabId="3" name="PivotTable12"/>
    <pivotTable tabId="3" name="PivotTable1"/>
    <pivotTable tabId="3" name="PivotTable13"/>
    <pivotTable tabId="3" name="PivotTable2"/>
    <pivotTable tabId="3" name="PivotTable4"/>
    <pivotTable tabId="3" name="PivotTable6"/>
    <pivotTable tabId="3" name="PivotTable3"/>
    <pivotTable tabId="3" name="PivotTable5"/>
  </pivotTables>
  <state minimalRefreshVersion="6" lastRefreshVersion="6" pivotCacheId="1113872219"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031FBB97-8449-4F54-8E69-898DEC8E3B79}" cache="NativeTimeline_Check_in_Date" caption="Check in Date" showSelectionLabel="0" showTimeLevel="0" showHorizontalScrollbar="0" level="2" selectionLevel="2" scrollPosition="2019-01-01T00:00:00" style="TimeSlicerStyleLight5"/>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K415"/>
  <sheetViews>
    <sheetView workbookViewId="0">
      <selection activeCell="F13" sqref="F13:K22"/>
    </sheetView>
  </sheetViews>
  <sheetFormatPr defaultRowHeight="14.4" x14ac:dyDescent="0.3"/>
  <cols>
    <col min="1" max="1" width="9.44140625" customWidth="1"/>
    <col min="2" max="2" width="16.88671875" customWidth="1"/>
    <col min="3" max="3" width="17.6640625" customWidth="1"/>
    <col min="4" max="4" width="11.33203125" customWidth="1"/>
  </cols>
  <sheetData>
    <row r="1" spans="1:11" x14ac:dyDescent="0.3">
      <c r="A1" s="7" t="s">
        <v>6</v>
      </c>
      <c r="B1" s="8" t="s">
        <v>8</v>
      </c>
      <c r="C1" s="8" t="s">
        <v>0</v>
      </c>
      <c r="D1" s="9" t="s">
        <v>1</v>
      </c>
      <c r="F1" s="17" t="s">
        <v>7</v>
      </c>
      <c r="G1" s="18"/>
      <c r="H1" s="18"/>
      <c r="I1" s="18"/>
      <c r="J1" s="18"/>
      <c r="K1" s="18"/>
    </row>
    <row r="2" spans="1:11" x14ac:dyDescent="0.3">
      <c r="A2" s="1">
        <v>120</v>
      </c>
      <c r="B2" s="10">
        <v>43466</v>
      </c>
      <c r="C2" s="2" t="s">
        <v>2</v>
      </c>
      <c r="D2" s="3" t="s">
        <v>4</v>
      </c>
      <c r="F2" s="18"/>
      <c r="G2" s="18"/>
      <c r="H2" s="18"/>
      <c r="I2" s="18"/>
      <c r="J2" s="18"/>
      <c r="K2" s="18"/>
    </row>
    <row r="3" spans="1:11" x14ac:dyDescent="0.3">
      <c r="A3" s="1">
        <v>121</v>
      </c>
      <c r="B3" s="10">
        <v>43466</v>
      </c>
      <c r="C3" s="2" t="s">
        <v>5</v>
      </c>
      <c r="D3" s="3" t="s">
        <v>4</v>
      </c>
      <c r="F3" s="18"/>
      <c r="G3" s="18"/>
      <c r="H3" s="18"/>
      <c r="I3" s="18"/>
      <c r="J3" s="18"/>
      <c r="K3" s="18"/>
    </row>
    <row r="4" spans="1:11" x14ac:dyDescent="0.3">
      <c r="A4" s="1">
        <v>131</v>
      </c>
      <c r="B4" s="10">
        <v>43467</v>
      </c>
      <c r="C4" s="2" t="s">
        <v>5</v>
      </c>
      <c r="D4" s="3" t="s">
        <v>4</v>
      </c>
      <c r="F4" s="18"/>
      <c r="G4" s="18"/>
      <c r="H4" s="18"/>
      <c r="I4" s="18"/>
      <c r="J4" s="18"/>
      <c r="K4" s="18"/>
    </row>
    <row r="5" spans="1:11" x14ac:dyDescent="0.3">
      <c r="A5" s="1">
        <v>143</v>
      </c>
      <c r="B5" s="10">
        <v>43467</v>
      </c>
      <c r="C5" s="2" t="s">
        <v>5</v>
      </c>
      <c r="D5" s="3" t="s">
        <v>3</v>
      </c>
      <c r="F5" s="18"/>
      <c r="G5" s="18"/>
      <c r="H5" s="18"/>
      <c r="I5" s="18"/>
      <c r="J5" s="18"/>
      <c r="K5" s="18"/>
    </row>
    <row r="6" spans="1:11" x14ac:dyDescent="0.3">
      <c r="A6" s="1">
        <v>193</v>
      </c>
      <c r="B6" s="10">
        <v>43468</v>
      </c>
      <c r="C6" s="2" t="s">
        <v>5</v>
      </c>
      <c r="D6" s="3" t="s">
        <v>4</v>
      </c>
      <c r="F6" s="18"/>
      <c r="G6" s="18"/>
      <c r="H6" s="18"/>
      <c r="I6" s="18"/>
      <c r="J6" s="18"/>
      <c r="K6" s="18"/>
    </row>
    <row r="7" spans="1:11" x14ac:dyDescent="0.3">
      <c r="A7" s="1">
        <v>217</v>
      </c>
      <c r="B7" s="10">
        <v>43468</v>
      </c>
      <c r="C7" s="2" t="s">
        <v>2</v>
      </c>
      <c r="D7" s="3" t="s">
        <v>4</v>
      </c>
    </row>
    <row r="8" spans="1:11" ht="15" customHeight="1" x14ac:dyDescent="0.3">
      <c r="A8" s="1">
        <v>233</v>
      </c>
      <c r="B8" s="10">
        <v>43469</v>
      </c>
      <c r="C8" s="2" t="s">
        <v>2</v>
      </c>
      <c r="D8" s="3" t="s">
        <v>4</v>
      </c>
      <c r="F8" s="19" t="s">
        <v>9</v>
      </c>
      <c r="G8" s="19"/>
      <c r="H8" s="19"/>
      <c r="I8" s="19"/>
      <c r="J8" s="19"/>
      <c r="K8" s="19"/>
    </row>
    <row r="9" spans="1:11" x14ac:dyDescent="0.3">
      <c r="A9" s="1">
        <v>282</v>
      </c>
      <c r="B9" s="10">
        <v>43469</v>
      </c>
      <c r="C9" s="2" t="s">
        <v>5</v>
      </c>
      <c r="D9" s="3" t="s">
        <v>4</v>
      </c>
      <c r="F9" s="19"/>
      <c r="G9" s="19"/>
      <c r="H9" s="19"/>
      <c r="I9" s="19"/>
      <c r="J9" s="19"/>
      <c r="K9" s="19"/>
    </row>
    <row r="10" spans="1:11" x14ac:dyDescent="0.3">
      <c r="A10" s="1">
        <v>361</v>
      </c>
      <c r="B10" s="10">
        <v>43470</v>
      </c>
      <c r="C10" s="2" t="s">
        <v>2</v>
      </c>
      <c r="D10" s="3" t="s">
        <v>4</v>
      </c>
      <c r="F10" s="19"/>
      <c r="G10" s="19"/>
      <c r="H10" s="19"/>
      <c r="I10" s="19"/>
      <c r="J10" s="19"/>
      <c r="K10" s="19"/>
    </row>
    <row r="11" spans="1:11" x14ac:dyDescent="0.3">
      <c r="A11" s="1">
        <v>372</v>
      </c>
      <c r="B11" s="10">
        <v>43470</v>
      </c>
      <c r="C11" s="2" t="s">
        <v>2</v>
      </c>
      <c r="D11" s="3" t="s">
        <v>4</v>
      </c>
      <c r="F11" s="19"/>
      <c r="G11" s="19"/>
      <c r="H11" s="19"/>
      <c r="I11" s="19"/>
      <c r="J11" s="19"/>
      <c r="K11" s="19"/>
    </row>
    <row r="12" spans="1:11" x14ac:dyDescent="0.3">
      <c r="A12" s="1">
        <v>390</v>
      </c>
      <c r="B12" s="10">
        <v>43471</v>
      </c>
      <c r="C12" s="2" t="s">
        <v>5</v>
      </c>
      <c r="D12" s="3" t="s">
        <v>4</v>
      </c>
      <c r="F12" s="13"/>
      <c r="G12" s="13"/>
      <c r="H12" s="13"/>
      <c r="I12" s="13"/>
      <c r="J12" s="13"/>
      <c r="K12" s="13"/>
    </row>
    <row r="13" spans="1:11" ht="15" customHeight="1" x14ac:dyDescent="0.3">
      <c r="A13" s="1">
        <v>409</v>
      </c>
      <c r="B13" s="10">
        <v>43471</v>
      </c>
      <c r="C13" s="2" t="s">
        <v>5</v>
      </c>
      <c r="D13" s="3" t="s">
        <v>4</v>
      </c>
      <c r="F13" s="20" t="s">
        <v>10</v>
      </c>
      <c r="G13" s="20"/>
      <c r="H13" s="20"/>
      <c r="I13" s="20"/>
      <c r="J13" s="20"/>
      <c r="K13" s="20"/>
    </row>
    <row r="14" spans="1:11" x14ac:dyDescent="0.3">
      <c r="A14" s="1">
        <v>465</v>
      </c>
      <c r="B14" s="10">
        <v>43472</v>
      </c>
      <c r="C14" s="2" t="s">
        <v>2</v>
      </c>
      <c r="D14" s="3" t="s">
        <v>4</v>
      </c>
      <c r="F14" s="20"/>
      <c r="G14" s="20"/>
      <c r="H14" s="20"/>
      <c r="I14" s="20"/>
      <c r="J14" s="20"/>
      <c r="K14" s="20"/>
    </row>
    <row r="15" spans="1:11" x14ac:dyDescent="0.3">
      <c r="A15" s="1">
        <v>469</v>
      </c>
      <c r="B15" s="10">
        <v>43472</v>
      </c>
      <c r="C15" s="2" t="s">
        <v>5</v>
      </c>
      <c r="D15" s="3" t="s">
        <v>4</v>
      </c>
      <c r="F15" s="20"/>
      <c r="G15" s="20"/>
      <c r="H15" s="20"/>
      <c r="I15" s="20"/>
      <c r="J15" s="20"/>
      <c r="K15" s="20"/>
    </row>
    <row r="16" spans="1:11" x14ac:dyDescent="0.3">
      <c r="A16" s="1">
        <v>532</v>
      </c>
      <c r="B16" s="10">
        <v>43473</v>
      </c>
      <c r="C16" s="2" t="s">
        <v>5</v>
      </c>
      <c r="D16" s="3" t="s">
        <v>4</v>
      </c>
      <c r="F16" s="20"/>
      <c r="G16" s="20"/>
      <c r="H16" s="20"/>
      <c r="I16" s="20"/>
      <c r="J16" s="20"/>
      <c r="K16" s="20"/>
    </row>
    <row r="17" spans="1:11" x14ac:dyDescent="0.3">
      <c r="A17" s="1">
        <v>596</v>
      </c>
      <c r="B17" s="10">
        <v>43473</v>
      </c>
      <c r="C17" s="2" t="s">
        <v>2</v>
      </c>
      <c r="D17" s="3" t="s">
        <v>3</v>
      </c>
      <c r="F17" s="20"/>
      <c r="G17" s="20"/>
      <c r="H17" s="20"/>
      <c r="I17" s="20"/>
      <c r="J17" s="20"/>
      <c r="K17" s="20"/>
    </row>
    <row r="18" spans="1:11" x14ac:dyDescent="0.3">
      <c r="A18" s="1">
        <v>654</v>
      </c>
      <c r="B18" s="10">
        <v>43474</v>
      </c>
      <c r="C18" s="2" t="s">
        <v>2</v>
      </c>
      <c r="D18" s="3" t="s">
        <v>4</v>
      </c>
      <c r="F18" s="20"/>
      <c r="G18" s="20"/>
      <c r="H18" s="20"/>
      <c r="I18" s="20"/>
      <c r="J18" s="20"/>
      <c r="K18" s="20"/>
    </row>
    <row r="19" spans="1:11" x14ac:dyDescent="0.3">
      <c r="A19" s="1">
        <v>661</v>
      </c>
      <c r="B19" s="10">
        <v>43474</v>
      </c>
      <c r="C19" s="2" t="s">
        <v>5</v>
      </c>
      <c r="D19" s="3" t="s">
        <v>4</v>
      </c>
      <c r="F19" s="20"/>
      <c r="G19" s="20"/>
      <c r="H19" s="20"/>
      <c r="I19" s="20"/>
      <c r="J19" s="20"/>
      <c r="K19" s="20"/>
    </row>
    <row r="20" spans="1:11" x14ac:dyDescent="0.3">
      <c r="A20" s="1">
        <v>670</v>
      </c>
      <c r="B20" s="10">
        <v>43475</v>
      </c>
      <c r="C20" s="2" t="s">
        <v>2</v>
      </c>
      <c r="D20" s="3" t="s">
        <v>4</v>
      </c>
      <c r="F20" s="20"/>
      <c r="G20" s="20"/>
      <c r="H20" s="20"/>
      <c r="I20" s="20"/>
      <c r="J20" s="20"/>
      <c r="K20" s="20"/>
    </row>
    <row r="21" spans="1:11" x14ac:dyDescent="0.3">
      <c r="A21" s="1">
        <v>674</v>
      </c>
      <c r="B21" s="10">
        <v>43475</v>
      </c>
      <c r="C21" s="2" t="s">
        <v>5</v>
      </c>
      <c r="D21" s="3" t="s">
        <v>4</v>
      </c>
      <c r="F21" s="20"/>
      <c r="G21" s="20"/>
      <c r="H21" s="20"/>
      <c r="I21" s="20"/>
      <c r="J21" s="20"/>
      <c r="K21" s="20"/>
    </row>
    <row r="22" spans="1:11" x14ac:dyDescent="0.3">
      <c r="A22" s="1">
        <v>691</v>
      </c>
      <c r="B22" s="10">
        <v>43476</v>
      </c>
      <c r="C22" s="2" t="s">
        <v>2</v>
      </c>
      <c r="D22" s="3" t="s">
        <v>4</v>
      </c>
      <c r="F22" s="20"/>
      <c r="G22" s="20"/>
      <c r="H22" s="20"/>
      <c r="I22" s="20"/>
      <c r="J22" s="20"/>
      <c r="K22" s="20"/>
    </row>
    <row r="23" spans="1:11" x14ac:dyDescent="0.3">
      <c r="A23" s="1">
        <v>705</v>
      </c>
      <c r="B23" s="10">
        <v>43476</v>
      </c>
      <c r="C23" s="2" t="s">
        <v>2</v>
      </c>
      <c r="D23" s="3" t="s">
        <v>4</v>
      </c>
    </row>
    <row r="24" spans="1:11" x14ac:dyDescent="0.3">
      <c r="A24" s="1">
        <v>723</v>
      </c>
      <c r="B24" s="10">
        <v>43477</v>
      </c>
      <c r="C24" s="2" t="s">
        <v>2</v>
      </c>
      <c r="D24" s="3" t="s">
        <v>4</v>
      </c>
    </row>
    <row r="25" spans="1:11" x14ac:dyDescent="0.3">
      <c r="A25" s="1">
        <v>731</v>
      </c>
      <c r="B25" s="10">
        <v>43477</v>
      </c>
      <c r="C25" s="2" t="s">
        <v>5</v>
      </c>
      <c r="D25" s="3" t="s">
        <v>4</v>
      </c>
    </row>
    <row r="26" spans="1:11" x14ac:dyDescent="0.3">
      <c r="A26" s="1">
        <v>776</v>
      </c>
      <c r="B26" s="10">
        <v>43478</v>
      </c>
      <c r="C26" s="2" t="s">
        <v>5</v>
      </c>
      <c r="D26" s="3" t="s">
        <v>4</v>
      </c>
    </row>
    <row r="27" spans="1:11" x14ac:dyDescent="0.3">
      <c r="A27" s="1">
        <v>806</v>
      </c>
      <c r="B27" s="10">
        <v>43478</v>
      </c>
      <c r="C27" s="2" t="s">
        <v>5</v>
      </c>
      <c r="D27" s="3" t="s">
        <v>4</v>
      </c>
    </row>
    <row r="28" spans="1:11" x14ac:dyDescent="0.3">
      <c r="A28" s="1">
        <v>830</v>
      </c>
      <c r="B28" s="10">
        <v>43479</v>
      </c>
      <c r="C28" s="2" t="s">
        <v>5</v>
      </c>
      <c r="D28" s="3" t="s">
        <v>4</v>
      </c>
    </row>
    <row r="29" spans="1:11" x14ac:dyDescent="0.3">
      <c r="A29" s="1">
        <v>833</v>
      </c>
      <c r="B29" s="10">
        <v>43479</v>
      </c>
      <c r="C29" s="2" t="s">
        <v>2</v>
      </c>
      <c r="D29" s="3" t="s">
        <v>3</v>
      </c>
    </row>
    <row r="30" spans="1:11" x14ac:dyDescent="0.3">
      <c r="A30" s="1">
        <v>891</v>
      </c>
      <c r="B30" s="10">
        <v>43480</v>
      </c>
      <c r="C30" s="2" t="s">
        <v>5</v>
      </c>
      <c r="D30" s="3" t="s">
        <v>4</v>
      </c>
    </row>
    <row r="31" spans="1:11" x14ac:dyDescent="0.3">
      <c r="A31" s="1">
        <v>892</v>
      </c>
      <c r="B31" s="10">
        <v>43480</v>
      </c>
      <c r="C31" s="2" t="s">
        <v>5</v>
      </c>
      <c r="D31" s="3" t="s">
        <v>3</v>
      </c>
    </row>
    <row r="32" spans="1:11" x14ac:dyDescent="0.3">
      <c r="A32" s="1">
        <v>896</v>
      </c>
      <c r="B32" s="10">
        <v>43481</v>
      </c>
      <c r="C32" s="2" t="s">
        <v>2</v>
      </c>
      <c r="D32" s="3" t="s">
        <v>4</v>
      </c>
    </row>
    <row r="33" spans="1:4" x14ac:dyDescent="0.3">
      <c r="A33" s="1">
        <v>912</v>
      </c>
      <c r="B33" s="10">
        <v>43481</v>
      </c>
      <c r="C33" s="2" t="s">
        <v>2</v>
      </c>
      <c r="D33" s="3" t="s">
        <v>4</v>
      </c>
    </row>
    <row r="34" spans="1:4" x14ac:dyDescent="0.3">
      <c r="A34" s="1">
        <v>962</v>
      </c>
      <c r="B34" s="10">
        <v>43482</v>
      </c>
      <c r="C34" s="2" t="s">
        <v>2</v>
      </c>
      <c r="D34" s="3" t="s">
        <v>4</v>
      </c>
    </row>
    <row r="35" spans="1:4" x14ac:dyDescent="0.3">
      <c r="A35" s="1">
        <v>974</v>
      </c>
      <c r="B35" s="10">
        <v>43482</v>
      </c>
      <c r="C35" s="2" t="s">
        <v>2</v>
      </c>
      <c r="D35" s="3" t="s">
        <v>4</v>
      </c>
    </row>
    <row r="36" spans="1:4" x14ac:dyDescent="0.3">
      <c r="A36" s="1">
        <v>1017</v>
      </c>
      <c r="B36" s="10">
        <v>43483</v>
      </c>
      <c r="C36" s="2" t="s">
        <v>2</v>
      </c>
      <c r="D36" s="3" t="s">
        <v>4</v>
      </c>
    </row>
    <row r="37" spans="1:4" x14ac:dyDescent="0.3">
      <c r="A37" s="1">
        <v>1045</v>
      </c>
      <c r="B37" s="10">
        <v>43483</v>
      </c>
      <c r="C37" s="2" t="s">
        <v>2</v>
      </c>
      <c r="D37" s="3" t="s">
        <v>4</v>
      </c>
    </row>
    <row r="38" spans="1:4" x14ac:dyDescent="0.3">
      <c r="A38" s="1">
        <v>1077</v>
      </c>
      <c r="B38" s="10">
        <v>43484</v>
      </c>
      <c r="C38" s="2" t="s">
        <v>2</v>
      </c>
      <c r="D38" s="3" t="s">
        <v>4</v>
      </c>
    </row>
    <row r="39" spans="1:4" x14ac:dyDescent="0.3">
      <c r="A39" s="1">
        <v>1131</v>
      </c>
      <c r="B39" s="10">
        <v>43484</v>
      </c>
      <c r="C39" s="2" t="s">
        <v>5</v>
      </c>
      <c r="D39" s="3" t="s">
        <v>4</v>
      </c>
    </row>
    <row r="40" spans="1:4" x14ac:dyDescent="0.3">
      <c r="A40" s="1">
        <v>1132</v>
      </c>
      <c r="B40" s="10">
        <v>43485</v>
      </c>
      <c r="C40" s="2" t="s">
        <v>2</v>
      </c>
      <c r="D40" s="3" t="s">
        <v>4</v>
      </c>
    </row>
    <row r="41" spans="1:4" x14ac:dyDescent="0.3">
      <c r="A41" s="1">
        <v>1137</v>
      </c>
      <c r="B41" s="10">
        <v>43485</v>
      </c>
      <c r="C41" s="2" t="s">
        <v>5</v>
      </c>
      <c r="D41" s="3" t="s">
        <v>4</v>
      </c>
    </row>
    <row r="42" spans="1:4" x14ac:dyDescent="0.3">
      <c r="A42" s="1">
        <v>1192</v>
      </c>
      <c r="B42" s="10">
        <v>43486</v>
      </c>
      <c r="C42" s="2" t="s">
        <v>2</v>
      </c>
      <c r="D42" s="3" t="s">
        <v>3</v>
      </c>
    </row>
    <row r="43" spans="1:4" x14ac:dyDescent="0.3">
      <c r="A43" s="1">
        <v>1203</v>
      </c>
      <c r="B43" s="10">
        <v>43486</v>
      </c>
      <c r="C43" s="2" t="s">
        <v>5</v>
      </c>
      <c r="D43" s="3" t="s">
        <v>4</v>
      </c>
    </row>
    <row r="44" spans="1:4" x14ac:dyDescent="0.3">
      <c r="A44" s="1">
        <v>1204</v>
      </c>
      <c r="B44" s="10">
        <v>43487</v>
      </c>
      <c r="C44" s="2" t="s">
        <v>2</v>
      </c>
      <c r="D44" s="3" t="s">
        <v>4</v>
      </c>
    </row>
    <row r="45" spans="1:4" x14ac:dyDescent="0.3">
      <c r="A45" s="1">
        <v>1226</v>
      </c>
      <c r="B45" s="10">
        <v>43487</v>
      </c>
      <c r="C45" s="2" t="s">
        <v>5</v>
      </c>
      <c r="D45" s="3" t="s">
        <v>4</v>
      </c>
    </row>
    <row r="46" spans="1:4" x14ac:dyDescent="0.3">
      <c r="A46" s="1">
        <v>1228</v>
      </c>
      <c r="B46" s="10">
        <v>43488</v>
      </c>
      <c r="C46" s="2" t="s">
        <v>5</v>
      </c>
      <c r="D46" s="3" t="s">
        <v>3</v>
      </c>
    </row>
    <row r="47" spans="1:4" x14ac:dyDescent="0.3">
      <c r="A47" s="1">
        <v>1230</v>
      </c>
      <c r="B47" s="10">
        <v>43488</v>
      </c>
      <c r="C47" s="2" t="s">
        <v>2</v>
      </c>
      <c r="D47" s="3" t="s">
        <v>4</v>
      </c>
    </row>
    <row r="48" spans="1:4" x14ac:dyDescent="0.3">
      <c r="A48" s="1">
        <v>1245</v>
      </c>
      <c r="B48" s="10">
        <v>43489</v>
      </c>
      <c r="C48" s="2" t="s">
        <v>5</v>
      </c>
      <c r="D48" s="3" t="s">
        <v>4</v>
      </c>
    </row>
    <row r="49" spans="1:4" x14ac:dyDescent="0.3">
      <c r="A49" s="1">
        <v>1269</v>
      </c>
      <c r="B49" s="10">
        <v>43489</v>
      </c>
      <c r="C49" s="2" t="s">
        <v>5</v>
      </c>
      <c r="D49" s="3" t="s">
        <v>4</v>
      </c>
    </row>
    <row r="50" spans="1:4" x14ac:dyDescent="0.3">
      <c r="A50" s="1">
        <v>1292</v>
      </c>
      <c r="B50" s="10">
        <v>43490</v>
      </c>
      <c r="C50" s="2" t="s">
        <v>2</v>
      </c>
      <c r="D50" s="3" t="s">
        <v>3</v>
      </c>
    </row>
    <row r="51" spans="1:4" x14ac:dyDescent="0.3">
      <c r="A51" s="1">
        <v>1302</v>
      </c>
      <c r="B51" s="10">
        <v>43490</v>
      </c>
      <c r="C51" s="2" t="s">
        <v>5</v>
      </c>
      <c r="D51" s="3" t="s">
        <v>3</v>
      </c>
    </row>
    <row r="52" spans="1:4" x14ac:dyDescent="0.3">
      <c r="A52" s="1">
        <v>1337</v>
      </c>
      <c r="B52" s="10">
        <v>43491</v>
      </c>
      <c r="C52" s="2" t="s">
        <v>2</v>
      </c>
      <c r="D52" s="3" t="s">
        <v>4</v>
      </c>
    </row>
    <row r="53" spans="1:4" x14ac:dyDescent="0.3">
      <c r="A53" s="1">
        <v>1414</v>
      </c>
      <c r="B53" s="10">
        <v>43491</v>
      </c>
      <c r="C53" s="2" t="s">
        <v>2</v>
      </c>
      <c r="D53" s="3" t="s">
        <v>4</v>
      </c>
    </row>
    <row r="54" spans="1:4" x14ac:dyDescent="0.3">
      <c r="A54" s="1">
        <v>1456</v>
      </c>
      <c r="B54" s="10">
        <v>43492</v>
      </c>
      <c r="C54" s="2" t="s">
        <v>5</v>
      </c>
      <c r="D54" s="3" t="s">
        <v>4</v>
      </c>
    </row>
    <row r="55" spans="1:4" x14ac:dyDescent="0.3">
      <c r="A55" s="1">
        <v>1481</v>
      </c>
      <c r="B55" s="10">
        <v>43492</v>
      </c>
      <c r="C55" s="2" t="s">
        <v>5</v>
      </c>
      <c r="D55" s="3" t="s">
        <v>4</v>
      </c>
    </row>
    <row r="56" spans="1:4" x14ac:dyDescent="0.3">
      <c r="A56" s="1">
        <v>1518</v>
      </c>
      <c r="B56" s="10">
        <v>43493</v>
      </c>
      <c r="C56" s="2" t="s">
        <v>5</v>
      </c>
      <c r="D56" s="3" t="s">
        <v>4</v>
      </c>
    </row>
    <row r="57" spans="1:4" x14ac:dyDescent="0.3">
      <c r="A57" s="1">
        <v>1536</v>
      </c>
      <c r="B57" s="10">
        <v>43493</v>
      </c>
      <c r="C57" s="2" t="s">
        <v>5</v>
      </c>
      <c r="D57" s="3" t="s">
        <v>4</v>
      </c>
    </row>
    <row r="58" spans="1:4" x14ac:dyDescent="0.3">
      <c r="A58" s="1">
        <v>1551</v>
      </c>
      <c r="B58" s="10">
        <v>43494</v>
      </c>
      <c r="C58" s="2" t="s">
        <v>2</v>
      </c>
      <c r="D58" s="3" t="s">
        <v>4</v>
      </c>
    </row>
    <row r="59" spans="1:4" x14ac:dyDescent="0.3">
      <c r="A59" s="1">
        <v>1562</v>
      </c>
      <c r="B59" s="10">
        <v>43494</v>
      </c>
      <c r="C59" s="2" t="s">
        <v>2</v>
      </c>
      <c r="D59" s="3" t="s">
        <v>4</v>
      </c>
    </row>
    <row r="60" spans="1:4" x14ac:dyDescent="0.3">
      <c r="A60" s="1">
        <v>1590</v>
      </c>
      <c r="B60" s="10">
        <v>43495</v>
      </c>
      <c r="C60" s="2" t="s">
        <v>5</v>
      </c>
      <c r="D60" s="3" t="s">
        <v>4</v>
      </c>
    </row>
    <row r="61" spans="1:4" x14ac:dyDescent="0.3">
      <c r="A61" s="1">
        <v>1592</v>
      </c>
      <c r="B61" s="10">
        <v>43495</v>
      </c>
      <c r="C61" s="2" t="s">
        <v>5</v>
      </c>
      <c r="D61" s="3" t="s">
        <v>4</v>
      </c>
    </row>
    <row r="62" spans="1:4" x14ac:dyDescent="0.3">
      <c r="A62" s="1">
        <v>1617</v>
      </c>
      <c r="B62" s="10">
        <v>43496</v>
      </c>
      <c r="C62" s="2" t="s">
        <v>2</v>
      </c>
      <c r="D62" s="3" t="s">
        <v>4</v>
      </c>
    </row>
    <row r="63" spans="1:4" x14ac:dyDescent="0.3">
      <c r="A63" s="1">
        <v>1628</v>
      </c>
      <c r="B63" s="10">
        <v>43496</v>
      </c>
      <c r="C63" s="2" t="s">
        <v>2</v>
      </c>
      <c r="D63" s="3" t="s">
        <v>4</v>
      </c>
    </row>
    <row r="64" spans="1:4" x14ac:dyDescent="0.3">
      <c r="A64" s="1">
        <v>1632</v>
      </c>
      <c r="B64" s="10">
        <v>43497</v>
      </c>
      <c r="C64" s="2" t="s">
        <v>2</v>
      </c>
      <c r="D64" s="3" t="s">
        <v>3</v>
      </c>
    </row>
    <row r="65" spans="1:4" x14ac:dyDescent="0.3">
      <c r="A65" s="1">
        <v>1680</v>
      </c>
      <c r="B65" s="10">
        <v>43497</v>
      </c>
      <c r="C65" s="2" t="s">
        <v>5</v>
      </c>
      <c r="D65" s="3" t="s">
        <v>4</v>
      </c>
    </row>
    <row r="66" spans="1:4" x14ac:dyDescent="0.3">
      <c r="A66" s="1">
        <v>1684</v>
      </c>
      <c r="B66" s="10">
        <v>43498</v>
      </c>
      <c r="C66" s="2" t="s">
        <v>5</v>
      </c>
      <c r="D66" s="3" t="s">
        <v>4</v>
      </c>
    </row>
    <row r="67" spans="1:4" x14ac:dyDescent="0.3">
      <c r="A67" s="1">
        <v>1687</v>
      </c>
      <c r="B67" s="10">
        <v>43498</v>
      </c>
      <c r="C67" s="2" t="s">
        <v>2</v>
      </c>
      <c r="D67" s="3" t="s">
        <v>4</v>
      </c>
    </row>
    <row r="68" spans="1:4" x14ac:dyDescent="0.3">
      <c r="A68" s="1">
        <v>1698</v>
      </c>
      <c r="B68" s="10">
        <v>43499</v>
      </c>
      <c r="C68" s="2" t="s">
        <v>2</v>
      </c>
      <c r="D68" s="3" t="s">
        <v>4</v>
      </c>
    </row>
    <row r="69" spans="1:4" x14ac:dyDescent="0.3">
      <c r="A69" s="1">
        <v>1748</v>
      </c>
      <c r="B69" s="10">
        <v>43499</v>
      </c>
      <c r="C69" s="2" t="s">
        <v>5</v>
      </c>
      <c r="D69" s="3" t="s">
        <v>4</v>
      </c>
    </row>
    <row r="70" spans="1:4" x14ac:dyDescent="0.3">
      <c r="A70" s="1">
        <v>1767</v>
      </c>
      <c r="B70" s="10">
        <v>43500</v>
      </c>
      <c r="C70" s="2" t="s">
        <v>5</v>
      </c>
      <c r="D70" s="3" t="s">
        <v>4</v>
      </c>
    </row>
    <row r="71" spans="1:4" x14ac:dyDescent="0.3">
      <c r="A71" s="1">
        <v>1803</v>
      </c>
      <c r="B71" s="10">
        <v>43500</v>
      </c>
      <c r="C71" s="2" t="s">
        <v>2</v>
      </c>
      <c r="D71" s="3" t="s">
        <v>3</v>
      </c>
    </row>
    <row r="72" spans="1:4" x14ac:dyDescent="0.3">
      <c r="A72" s="1">
        <v>1828</v>
      </c>
      <c r="B72" s="10">
        <v>43501</v>
      </c>
      <c r="C72" s="2" t="s">
        <v>2</v>
      </c>
      <c r="D72" s="3" t="s">
        <v>4</v>
      </c>
    </row>
    <row r="73" spans="1:4" x14ac:dyDescent="0.3">
      <c r="A73" s="1">
        <v>1840</v>
      </c>
      <c r="B73" s="10">
        <v>43501</v>
      </c>
      <c r="C73" s="2" t="s">
        <v>5</v>
      </c>
      <c r="D73" s="3" t="s">
        <v>4</v>
      </c>
    </row>
    <row r="74" spans="1:4" x14ac:dyDescent="0.3">
      <c r="A74" s="1">
        <v>1842</v>
      </c>
      <c r="B74" s="10">
        <v>43502</v>
      </c>
      <c r="C74" s="2" t="s">
        <v>2</v>
      </c>
      <c r="D74" s="3" t="s">
        <v>3</v>
      </c>
    </row>
    <row r="75" spans="1:4" x14ac:dyDescent="0.3">
      <c r="A75" s="1">
        <v>1868</v>
      </c>
      <c r="B75" s="10">
        <v>43502</v>
      </c>
      <c r="C75" s="2" t="s">
        <v>2</v>
      </c>
      <c r="D75" s="3" t="s">
        <v>3</v>
      </c>
    </row>
    <row r="76" spans="1:4" x14ac:dyDescent="0.3">
      <c r="A76" s="1">
        <v>1870</v>
      </c>
      <c r="B76" s="10">
        <v>43503</v>
      </c>
      <c r="C76" s="2" t="s">
        <v>2</v>
      </c>
      <c r="D76" s="3" t="s">
        <v>3</v>
      </c>
    </row>
    <row r="77" spans="1:4" x14ac:dyDescent="0.3">
      <c r="A77" s="1">
        <v>1877</v>
      </c>
      <c r="B77" s="10">
        <v>43503</v>
      </c>
      <c r="C77" s="2" t="s">
        <v>2</v>
      </c>
      <c r="D77" s="3" t="s">
        <v>4</v>
      </c>
    </row>
    <row r="78" spans="1:4" x14ac:dyDescent="0.3">
      <c r="A78" s="1">
        <v>1903</v>
      </c>
      <c r="B78" s="10">
        <v>43504</v>
      </c>
      <c r="C78" s="2" t="s">
        <v>5</v>
      </c>
      <c r="D78" s="3" t="s">
        <v>4</v>
      </c>
    </row>
    <row r="79" spans="1:4" x14ac:dyDescent="0.3">
      <c r="A79" s="1">
        <v>1954</v>
      </c>
      <c r="B79" s="10">
        <v>43504</v>
      </c>
      <c r="C79" s="2" t="s">
        <v>2</v>
      </c>
      <c r="D79" s="3" t="s">
        <v>4</v>
      </c>
    </row>
    <row r="80" spans="1:4"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row r="405" spans="1:4" x14ac:dyDescent="0.3">
      <c r="B405" s="12"/>
    </row>
    <row r="406" spans="1:4" x14ac:dyDescent="0.3">
      <c r="B406" s="12"/>
    </row>
    <row r="407" spans="1:4" x14ac:dyDescent="0.3">
      <c r="B407" s="12"/>
    </row>
    <row r="408" spans="1:4" x14ac:dyDescent="0.3">
      <c r="B408" s="12"/>
    </row>
    <row r="409" spans="1:4" x14ac:dyDescent="0.3">
      <c r="B409" s="12"/>
    </row>
    <row r="410" spans="1:4" x14ac:dyDescent="0.3">
      <c r="B410" s="12"/>
    </row>
    <row r="411" spans="1:4" x14ac:dyDescent="0.3">
      <c r="B411" s="12"/>
    </row>
    <row r="412" spans="1:4" x14ac:dyDescent="0.3">
      <c r="B412" s="12"/>
    </row>
    <row r="413" spans="1:4" x14ac:dyDescent="0.3">
      <c r="B413" s="12"/>
    </row>
    <row r="414" spans="1:4" x14ac:dyDescent="0.3">
      <c r="B414" s="12"/>
    </row>
    <row r="415" spans="1:4" x14ac:dyDescent="0.3">
      <c r="B415" s="12"/>
    </row>
  </sheetData>
  <mergeCells count="3">
    <mergeCell ref="F1:K6"/>
    <mergeCell ref="F8:K11"/>
    <mergeCell ref="F13:K2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473B9-E8C4-4EA4-AA25-FA7CF1BFA7E5}">
  <dimension ref="A1:T404"/>
  <sheetViews>
    <sheetView tabSelected="1" zoomScale="102" zoomScaleNormal="102" workbookViewId="0">
      <selection activeCell="J7" sqref="J7"/>
    </sheetView>
  </sheetViews>
  <sheetFormatPr defaultRowHeight="14.4" x14ac:dyDescent="0.3"/>
  <cols>
    <col min="1" max="1" width="6.77734375" bestFit="1" customWidth="1"/>
    <col min="2" max="2" width="12.44140625" bestFit="1" customWidth="1"/>
    <col min="3" max="3" width="12.33203125" bestFit="1" customWidth="1"/>
    <col min="4" max="4" width="8.77734375" bestFit="1" customWidth="1"/>
    <col min="5" max="5" width="4.77734375" customWidth="1"/>
    <col min="6" max="6" width="5.21875" customWidth="1"/>
    <col min="7" max="7" width="12.88671875" bestFit="1" customWidth="1"/>
    <col min="8" max="8" width="20.6640625" bestFit="1" customWidth="1"/>
    <col min="9" max="9" width="4.6640625" bestFit="1" customWidth="1"/>
    <col min="10" max="10" width="8.5546875" customWidth="1"/>
    <col min="11" max="11" width="16.77734375" bestFit="1" customWidth="1"/>
    <col min="12" max="12" width="15.5546875" bestFit="1" customWidth="1"/>
    <col min="13" max="13" width="4.44140625" bestFit="1" customWidth="1"/>
    <col min="14" max="14" width="9.21875" customWidth="1"/>
    <col min="15" max="15" width="15" bestFit="1" customWidth="1"/>
    <col min="16" max="16" width="15.5546875" bestFit="1" customWidth="1"/>
    <col min="17" max="17" width="4.6640625" bestFit="1" customWidth="1"/>
    <col min="18" max="18" width="10.77734375" bestFit="1" customWidth="1"/>
    <col min="19" max="21" width="15.5546875" bestFit="1" customWidth="1"/>
    <col min="22" max="23" width="10.77734375" bestFit="1" customWidth="1"/>
  </cols>
  <sheetData>
    <row r="1" spans="1:20" x14ac:dyDescent="0.3">
      <c r="A1" s="7" t="s">
        <v>6</v>
      </c>
      <c r="B1" s="8" t="s">
        <v>8</v>
      </c>
      <c r="C1" s="8" t="s">
        <v>0</v>
      </c>
      <c r="D1" s="9" t="s">
        <v>1</v>
      </c>
    </row>
    <row r="2" spans="1:20" x14ac:dyDescent="0.3">
      <c r="A2" s="1">
        <v>120</v>
      </c>
      <c r="B2" s="10">
        <v>43466</v>
      </c>
      <c r="C2" s="2" t="s">
        <v>2</v>
      </c>
      <c r="D2" s="3" t="s">
        <v>4</v>
      </c>
      <c r="G2" t="s">
        <v>11</v>
      </c>
      <c r="K2" s="14" t="s">
        <v>14</v>
      </c>
      <c r="L2" s="14" t="s">
        <v>28</v>
      </c>
      <c r="P2" s="14" t="s">
        <v>28</v>
      </c>
    </row>
    <row r="3" spans="1:20" x14ac:dyDescent="0.3">
      <c r="A3" s="1">
        <v>121</v>
      </c>
      <c r="B3" s="10">
        <v>43466</v>
      </c>
      <c r="C3" s="2" t="s">
        <v>5</v>
      </c>
      <c r="D3" s="3" t="s">
        <v>4</v>
      </c>
      <c r="G3">
        <v>403</v>
      </c>
      <c r="K3" s="14" t="s">
        <v>12</v>
      </c>
      <c r="L3" t="s">
        <v>3</v>
      </c>
      <c r="M3" t="s">
        <v>4</v>
      </c>
      <c r="P3" t="s">
        <v>3</v>
      </c>
    </row>
    <row r="4" spans="1:20" x14ac:dyDescent="0.3">
      <c r="A4" s="1">
        <v>131</v>
      </c>
      <c r="B4" s="10">
        <v>43467</v>
      </c>
      <c r="C4" s="2" t="s">
        <v>5</v>
      </c>
      <c r="D4" s="3" t="s">
        <v>4</v>
      </c>
      <c r="K4" s="15" t="s">
        <v>16</v>
      </c>
      <c r="O4" s="14" t="s">
        <v>12</v>
      </c>
      <c r="P4" t="s">
        <v>11</v>
      </c>
      <c r="Q4" t="s">
        <v>29</v>
      </c>
      <c r="S4" s="15" t="s">
        <v>16</v>
      </c>
      <c r="T4">
        <f>GETPIVOTDATA("Outcome",$K$2,"Outcome","Die","Months (Check in Date)",S4)</f>
        <v>0</v>
      </c>
    </row>
    <row r="5" spans="1:20" x14ac:dyDescent="0.3">
      <c r="A5" s="1">
        <v>143</v>
      </c>
      <c r="B5" s="10">
        <v>43467</v>
      </c>
      <c r="C5" s="2" t="s">
        <v>5</v>
      </c>
      <c r="D5" s="3" t="s">
        <v>3</v>
      </c>
      <c r="G5" s="14" t="s">
        <v>12</v>
      </c>
      <c r="H5" t="s">
        <v>14</v>
      </c>
      <c r="K5" s="15" t="s">
        <v>17</v>
      </c>
      <c r="L5">
        <v>1</v>
      </c>
      <c r="M5">
        <v>-17</v>
      </c>
      <c r="O5" s="15" t="s">
        <v>16</v>
      </c>
      <c r="P5">
        <v>8</v>
      </c>
      <c r="Q5">
        <v>8</v>
      </c>
      <c r="S5" s="15" t="s">
        <v>17</v>
      </c>
      <c r="T5">
        <f t="shared" ref="T5:T15" si="0">GETPIVOTDATA("Outcome",$K$2,"Outcome","Die","Months (Check in Date)",S5)</f>
        <v>1</v>
      </c>
    </row>
    <row r="6" spans="1:20" x14ac:dyDescent="0.3">
      <c r="A6" s="1">
        <v>193</v>
      </c>
      <c r="B6" s="10">
        <v>43468</v>
      </c>
      <c r="C6" s="2" t="s">
        <v>5</v>
      </c>
      <c r="D6" s="3" t="s">
        <v>4</v>
      </c>
      <c r="G6" s="15" t="s">
        <v>4</v>
      </c>
      <c r="H6">
        <v>334</v>
      </c>
      <c r="K6" s="15" t="s">
        <v>18</v>
      </c>
      <c r="L6">
        <v>-3</v>
      </c>
      <c r="M6">
        <v>-12</v>
      </c>
      <c r="O6" s="15" t="s">
        <v>17</v>
      </c>
      <c r="P6">
        <v>9</v>
      </c>
      <c r="Q6">
        <v>17</v>
      </c>
      <c r="S6" s="15" t="s">
        <v>18</v>
      </c>
      <c r="T6">
        <f t="shared" si="0"/>
        <v>-3</v>
      </c>
    </row>
    <row r="7" spans="1:20" x14ac:dyDescent="0.3">
      <c r="A7" s="1">
        <v>217</v>
      </c>
      <c r="B7" s="10">
        <v>43468</v>
      </c>
      <c r="C7" s="2" t="s">
        <v>2</v>
      </c>
      <c r="D7" s="3" t="s">
        <v>4</v>
      </c>
      <c r="G7" s="15" t="s">
        <v>3</v>
      </c>
      <c r="H7">
        <v>69</v>
      </c>
      <c r="K7" s="15" t="s">
        <v>19</v>
      </c>
      <c r="L7">
        <v>-1</v>
      </c>
      <c r="M7">
        <v>0</v>
      </c>
      <c r="O7" s="15" t="s">
        <v>18</v>
      </c>
      <c r="P7">
        <v>6</v>
      </c>
      <c r="Q7">
        <v>23</v>
      </c>
      <c r="S7" s="15" t="s">
        <v>19</v>
      </c>
      <c r="T7">
        <f t="shared" si="0"/>
        <v>-1</v>
      </c>
    </row>
    <row r="8" spans="1:20" x14ac:dyDescent="0.3">
      <c r="A8" s="1">
        <v>233</v>
      </c>
      <c r="B8" s="10">
        <v>43469</v>
      </c>
      <c r="C8" s="2" t="s">
        <v>2</v>
      </c>
      <c r="D8" s="3" t="s">
        <v>4</v>
      </c>
      <c r="K8" s="15" t="s">
        <v>20</v>
      </c>
      <c r="L8">
        <v>0</v>
      </c>
      <c r="M8">
        <v>1</v>
      </c>
      <c r="O8" s="15" t="s">
        <v>19</v>
      </c>
      <c r="P8">
        <v>5</v>
      </c>
      <c r="Q8">
        <v>28</v>
      </c>
      <c r="S8" s="15" t="s">
        <v>20</v>
      </c>
      <c r="T8">
        <f t="shared" si="0"/>
        <v>0</v>
      </c>
    </row>
    <row r="9" spans="1:20" x14ac:dyDescent="0.3">
      <c r="A9" s="1">
        <v>282</v>
      </c>
      <c r="B9" s="10">
        <v>43469</v>
      </c>
      <c r="C9" s="2" t="s">
        <v>5</v>
      </c>
      <c r="D9" s="3" t="s">
        <v>4</v>
      </c>
      <c r="G9" s="14" t="s">
        <v>12</v>
      </c>
      <c r="H9" t="s">
        <v>14</v>
      </c>
      <c r="K9" s="15" t="s">
        <v>21</v>
      </c>
      <c r="L9">
        <v>1</v>
      </c>
      <c r="M9">
        <v>-2</v>
      </c>
      <c r="O9" s="15" t="s">
        <v>20</v>
      </c>
      <c r="P9">
        <v>5</v>
      </c>
      <c r="Q9">
        <v>33</v>
      </c>
      <c r="S9" s="15" t="s">
        <v>21</v>
      </c>
      <c r="T9">
        <f t="shared" si="0"/>
        <v>1</v>
      </c>
    </row>
    <row r="10" spans="1:20" x14ac:dyDescent="0.3">
      <c r="A10" s="1">
        <v>361</v>
      </c>
      <c r="B10" s="10">
        <v>43470</v>
      </c>
      <c r="C10" s="2" t="s">
        <v>2</v>
      </c>
      <c r="D10" s="3" t="s">
        <v>4</v>
      </c>
      <c r="G10" s="15" t="s">
        <v>3</v>
      </c>
      <c r="H10" s="16">
        <v>0.17121588089330025</v>
      </c>
      <c r="K10" s="15" t="s">
        <v>22</v>
      </c>
      <c r="L10">
        <v>-2</v>
      </c>
      <c r="M10">
        <v>3</v>
      </c>
      <c r="O10" s="15" t="s">
        <v>21</v>
      </c>
      <c r="P10">
        <v>6</v>
      </c>
      <c r="Q10">
        <v>39</v>
      </c>
      <c r="S10" s="15" t="s">
        <v>22</v>
      </c>
      <c r="T10">
        <f t="shared" si="0"/>
        <v>-2</v>
      </c>
    </row>
    <row r="11" spans="1:20" x14ac:dyDescent="0.3">
      <c r="A11" s="1">
        <v>372</v>
      </c>
      <c r="B11" s="10">
        <v>43470</v>
      </c>
      <c r="C11" s="2" t="s">
        <v>2</v>
      </c>
      <c r="D11" s="3" t="s">
        <v>4</v>
      </c>
      <c r="G11" s="15" t="s">
        <v>4</v>
      </c>
      <c r="H11" s="16">
        <v>0.8287841191066998</v>
      </c>
      <c r="K11" s="15" t="s">
        <v>23</v>
      </c>
      <c r="L11">
        <v>5</v>
      </c>
      <c r="M11">
        <v>-5</v>
      </c>
      <c r="O11" s="15" t="s">
        <v>22</v>
      </c>
      <c r="P11">
        <v>4</v>
      </c>
      <c r="Q11">
        <v>43</v>
      </c>
      <c r="S11" s="15" t="s">
        <v>23</v>
      </c>
      <c r="T11">
        <f t="shared" si="0"/>
        <v>5</v>
      </c>
    </row>
    <row r="12" spans="1:20" x14ac:dyDescent="0.3">
      <c r="A12" s="1">
        <v>390</v>
      </c>
      <c r="B12" s="10">
        <v>43471</v>
      </c>
      <c r="C12" s="2" t="s">
        <v>5</v>
      </c>
      <c r="D12" s="3" t="s">
        <v>4</v>
      </c>
      <c r="K12" s="15" t="s">
        <v>24</v>
      </c>
      <c r="L12">
        <v>-3</v>
      </c>
      <c r="M12">
        <v>2</v>
      </c>
      <c r="O12" s="15" t="s">
        <v>23</v>
      </c>
      <c r="P12">
        <v>9</v>
      </c>
      <c r="Q12">
        <v>52</v>
      </c>
      <c r="S12" s="15" t="s">
        <v>24</v>
      </c>
      <c r="T12">
        <f t="shared" si="0"/>
        <v>-3</v>
      </c>
    </row>
    <row r="13" spans="1:20" x14ac:dyDescent="0.3">
      <c r="A13" s="1">
        <v>409</v>
      </c>
      <c r="B13" s="10">
        <v>43471</v>
      </c>
      <c r="C13" s="2" t="s">
        <v>5</v>
      </c>
      <c r="D13" s="3" t="s">
        <v>4</v>
      </c>
      <c r="G13" s="14" t="s">
        <v>12</v>
      </c>
      <c r="H13" t="s">
        <v>15</v>
      </c>
      <c r="K13" s="15" t="s">
        <v>25</v>
      </c>
      <c r="L13">
        <v>-1</v>
      </c>
      <c r="M13">
        <v>2</v>
      </c>
      <c r="O13" s="15" t="s">
        <v>24</v>
      </c>
      <c r="P13">
        <v>6</v>
      </c>
      <c r="Q13">
        <v>58</v>
      </c>
      <c r="S13" s="15" t="s">
        <v>25</v>
      </c>
      <c r="T13">
        <f t="shared" si="0"/>
        <v>-1</v>
      </c>
    </row>
    <row r="14" spans="1:20" x14ac:dyDescent="0.3">
      <c r="A14" s="1">
        <v>465</v>
      </c>
      <c r="B14" s="10">
        <v>43472</v>
      </c>
      <c r="C14" s="2" t="s">
        <v>2</v>
      </c>
      <c r="D14" s="3" t="s">
        <v>4</v>
      </c>
      <c r="G14" s="15" t="s">
        <v>2</v>
      </c>
      <c r="H14" s="16">
        <v>0.45161290322580644</v>
      </c>
      <c r="K14" s="15" t="s">
        <v>26</v>
      </c>
      <c r="L14">
        <v>0</v>
      </c>
      <c r="M14">
        <v>-1</v>
      </c>
      <c r="O14" s="15" t="s">
        <v>25</v>
      </c>
      <c r="P14">
        <v>5</v>
      </c>
      <c r="Q14">
        <v>63</v>
      </c>
      <c r="S14" s="15" t="s">
        <v>26</v>
      </c>
      <c r="T14">
        <f t="shared" si="0"/>
        <v>0</v>
      </c>
    </row>
    <row r="15" spans="1:20" x14ac:dyDescent="0.3">
      <c r="A15" s="1">
        <v>469</v>
      </c>
      <c r="B15" s="10">
        <v>43472</v>
      </c>
      <c r="C15" s="2" t="s">
        <v>5</v>
      </c>
      <c r="D15" s="3" t="s">
        <v>4</v>
      </c>
      <c r="G15" s="15" t="s">
        <v>5</v>
      </c>
      <c r="H15" s="16">
        <v>0.54838709677419351</v>
      </c>
      <c r="K15" s="15" t="s">
        <v>27</v>
      </c>
      <c r="L15">
        <v>-4</v>
      </c>
      <c r="M15">
        <v>-6</v>
      </c>
      <c r="O15" s="15" t="s">
        <v>26</v>
      </c>
      <c r="P15">
        <v>5</v>
      </c>
      <c r="Q15">
        <v>68</v>
      </c>
      <c r="S15" s="15" t="s">
        <v>27</v>
      </c>
      <c r="T15">
        <f t="shared" si="0"/>
        <v>-4</v>
      </c>
    </row>
    <row r="16" spans="1:20" x14ac:dyDescent="0.3">
      <c r="A16" s="1">
        <v>532</v>
      </c>
      <c r="B16" s="10">
        <v>43473</v>
      </c>
      <c r="C16" s="2" t="s">
        <v>5</v>
      </c>
      <c r="D16" s="3" t="s">
        <v>4</v>
      </c>
      <c r="G16" s="15" t="s">
        <v>13</v>
      </c>
      <c r="H16" s="16">
        <v>1</v>
      </c>
      <c r="O16" s="15" t="s">
        <v>27</v>
      </c>
      <c r="P16">
        <v>1</v>
      </c>
      <c r="Q16">
        <v>69</v>
      </c>
    </row>
    <row r="17" spans="1:17" x14ac:dyDescent="0.3">
      <c r="A17" s="1">
        <v>596</v>
      </c>
      <c r="B17" s="10">
        <v>43473</v>
      </c>
      <c r="C17" s="2" t="s">
        <v>2</v>
      </c>
      <c r="D17" s="3" t="s">
        <v>3</v>
      </c>
      <c r="K17" s="14" t="s">
        <v>14</v>
      </c>
      <c r="L17" s="14" t="s">
        <v>28</v>
      </c>
    </row>
    <row r="18" spans="1:17" x14ac:dyDescent="0.3">
      <c r="A18" s="1">
        <v>654</v>
      </c>
      <c r="B18" s="10">
        <v>43474</v>
      </c>
      <c r="C18" s="2" t="s">
        <v>2</v>
      </c>
      <c r="D18" s="3" t="s">
        <v>4</v>
      </c>
      <c r="G18" s="14" t="s">
        <v>14</v>
      </c>
      <c r="H18" s="14" t="s">
        <v>28</v>
      </c>
      <c r="K18" s="14" t="s">
        <v>12</v>
      </c>
      <c r="L18" t="s">
        <v>3</v>
      </c>
      <c r="O18" s="14" t="s">
        <v>11</v>
      </c>
      <c r="P18" s="14" t="s">
        <v>28</v>
      </c>
    </row>
    <row r="19" spans="1:17" x14ac:dyDescent="0.3">
      <c r="A19" s="1">
        <v>661</v>
      </c>
      <c r="B19" s="10">
        <v>43474</v>
      </c>
      <c r="C19" s="2" t="s">
        <v>5</v>
      </c>
      <c r="D19" s="3" t="s">
        <v>4</v>
      </c>
      <c r="G19" s="14" t="s">
        <v>12</v>
      </c>
      <c r="H19" t="s">
        <v>3</v>
      </c>
      <c r="I19" t="s">
        <v>4</v>
      </c>
      <c r="K19" s="15" t="s">
        <v>16</v>
      </c>
      <c r="L19" s="16"/>
      <c r="O19" s="14" t="s">
        <v>12</v>
      </c>
      <c r="P19" t="s">
        <v>2</v>
      </c>
      <c r="Q19" t="s">
        <v>5</v>
      </c>
    </row>
    <row r="20" spans="1:17" x14ac:dyDescent="0.3">
      <c r="A20" s="1">
        <v>670</v>
      </c>
      <c r="B20" s="10">
        <v>43475</v>
      </c>
      <c r="C20" s="2" t="s">
        <v>2</v>
      </c>
      <c r="D20" s="3" t="s">
        <v>4</v>
      </c>
      <c r="G20" s="15" t="s">
        <v>16</v>
      </c>
      <c r="H20" s="16">
        <v>0.12903225806451613</v>
      </c>
      <c r="I20" s="16">
        <v>0.87096774193548387</v>
      </c>
      <c r="K20" s="15" t="s">
        <v>17</v>
      </c>
      <c r="L20" s="16">
        <v>0.125</v>
      </c>
      <c r="O20" s="15" t="s">
        <v>3</v>
      </c>
      <c r="P20" s="16">
        <v>0.21428571428571427</v>
      </c>
      <c r="Q20" s="16">
        <v>0.13574660633484162</v>
      </c>
    </row>
    <row r="21" spans="1:17" x14ac:dyDescent="0.3">
      <c r="A21" s="1">
        <v>674</v>
      </c>
      <c r="B21" s="10">
        <v>43475</v>
      </c>
      <c r="C21" s="2" t="s">
        <v>5</v>
      </c>
      <c r="D21" s="3" t="s">
        <v>4</v>
      </c>
      <c r="G21" s="15" t="s">
        <v>17</v>
      </c>
      <c r="H21" s="16">
        <v>0.19565217391304349</v>
      </c>
      <c r="I21" s="16">
        <v>0.80434782608695654</v>
      </c>
      <c r="K21" s="15" t="s">
        <v>18</v>
      </c>
      <c r="L21" s="16">
        <v>-0.33333333333333331</v>
      </c>
      <c r="O21" s="15" t="s">
        <v>4</v>
      </c>
      <c r="P21" s="16">
        <v>0.7857142857142857</v>
      </c>
      <c r="Q21" s="16">
        <v>0.86425339366515841</v>
      </c>
    </row>
    <row r="22" spans="1:17" x14ac:dyDescent="0.3">
      <c r="A22" s="1">
        <v>691</v>
      </c>
      <c r="B22" s="10">
        <v>43476</v>
      </c>
      <c r="C22" s="2" t="s">
        <v>2</v>
      </c>
      <c r="D22" s="3" t="s">
        <v>4</v>
      </c>
      <c r="G22" s="15" t="s">
        <v>18</v>
      </c>
      <c r="H22" s="16">
        <v>0.19354838709677419</v>
      </c>
      <c r="I22" s="16">
        <v>0.80645161290322576</v>
      </c>
      <c r="K22" s="15" t="s">
        <v>19</v>
      </c>
      <c r="L22" s="16">
        <v>-0.16666666666666666</v>
      </c>
    </row>
    <row r="23" spans="1:17" x14ac:dyDescent="0.3">
      <c r="A23" s="1">
        <v>705</v>
      </c>
      <c r="B23" s="10">
        <v>43476</v>
      </c>
      <c r="C23" s="2" t="s">
        <v>2</v>
      </c>
      <c r="D23" s="3" t="s">
        <v>4</v>
      </c>
      <c r="G23" s="15" t="s">
        <v>19</v>
      </c>
      <c r="H23" s="16">
        <v>0.16666666666666666</v>
      </c>
      <c r="I23" s="16">
        <v>0.83333333333333337</v>
      </c>
      <c r="K23" s="15" t="s">
        <v>20</v>
      </c>
      <c r="L23" s="16">
        <v>0</v>
      </c>
    </row>
    <row r="24" spans="1:17" x14ac:dyDescent="0.3">
      <c r="A24" s="1">
        <v>723</v>
      </c>
      <c r="B24" s="10">
        <v>43477</v>
      </c>
      <c r="C24" s="2" t="s">
        <v>2</v>
      </c>
      <c r="D24" s="3" t="s">
        <v>4</v>
      </c>
      <c r="G24" s="15" t="s">
        <v>20</v>
      </c>
      <c r="H24" s="16">
        <v>0.16129032258064516</v>
      </c>
      <c r="I24" s="16">
        <v>0.83870967741935487</v>
      </c>
      <c r="K24" s="15" t="s">
        <v>21</v>
      </c>
      <c r="L24" s="16">
        <v>0.2</v>
      </c>
    </row>
    <row r="25" spans="1:17" x14ac:dyDescent="0.3">
      <c r="A25" s="1">
        <v>731</v>
      </c>
      <c r="B25" s="10">
        <v>43477</v>
      </c>
      <c r="C25" s="2" t="s">
        <v>5</v>
      </c>
      <c r="D25" s="3" t="s">
        <v>4</v>
      </c>
      <c r="G25" s="15" t="s">
        <v>21</v>
      </c>
      <c r="H25" s="16">
        <v>0.2</v>
      </c>
      <c r="I25" s="16">
        <v>0.8</v>
      </c>
      <c r="K25" s="15" t="s">
        <v>22</v>
      </c>
      <c r="L25" s="16">
        <v>-0.33333333333333331</v>
      </c>
    </row>
    <row r="26" spans="1:17" x14ac:dyDescent="0.3">
      <c r="A26" s="1">
        <v>776</v>
      </c>
      <c r="B26" s="10">
        <v>43478</v>
      </c>
      <c r="C26" s="2" t="s">
        <v>5</v>
      </c>
      <c r="D26" s="3" t="s">
        <v>4</v>
      </c>
      <c r="G26" s="15" t="s">
        <v>22</v>
      </c>
      <c r="H26" s="16">
        <v>0.12903225806451613</v>
      </c>
      <c r="I26" s="16">
        <v>0.87096774193548387</v>
      </c>
      <c r="K26" s="15" t="s">
        <v>23</v>
      </c>
      <c r="L26" s="16">
        <v>1.25</v>
      </c>
    </row>
    <row r="27" spans="1:17" x14ac:dyDescent="0.3">
      <c r="A27" s="1">
        <v>806</v>
      </c>
      <c r="B27" s="10">
        <v>43478</v>
      </c>
      <c r="C27" s="2" t="s">
        <v>5</v>
      </c>
      <c r="D27" s="3" t="s">
        <v>4</v>
      </c>
      <c r="G27" s="15" t="s">
        <v>23</v>
      </c>
      <c r="H27" s="16">
        <v>0.29032258064516131</v>
      </c>
      <c r="I27" s="16">
        <v>0.70967741935483875</v>
      </c>
      <c r="K27" s="15" t="s">
        <v>24</v>
      </c>
      <c r="L27" s="16">
        <v>-0.33333333333333331</v>
      </c>
    </row>
    <row r="28" spans="1:17" x14ac:dyDescent="0.3">
      <c r="A28" s="1">
        <v>830</v>
      </c>
      <c r="B28" s="10">
        <v>43479</v>
      </c>
      <c r="C28" s="2" t="s">
        <v>5</v>
      </c>
      <c r="D28" s="3" t="s">
        <v>4</v>
      </c>
      <c r="G28" s="15" t="s">
        <v>24</v>
      </c>
      <c r="H28" s="16">
        <v>0.2</v>
      </c>
      <c r="I28" s="16">
        <v>0.8</v>
      </c>
      <c r="K28" s="15" t="s">
        <v>25</v>
      </c>
      <c r="L28" s="16">
        <v>-0.16666666666666666</v>
      </c>
    </row>
    <row r="29" spans="1:17" x14ac:dyDescent="0.3">
      <c r="A29" s="1">
        <v>833</v>
      </c>
      <c r="B29" s="10">
        <v>43479</v>
      </c>
      <c r="C29" s="2" t="s">
        <v>2</v>
      </c>
      <c r="D29" s="3" t="s">
        <v>3</v>
      </c>
      <c r="G29" s="15" t="s">
        <v>25</v>
      </c>
      <c r="H29" s="16">
        <v>0.16129032258064516</v>
      </c>
      <c r="I29" s="16">
        <v>0.83870967741935487</v>
      </c>
      <c r="K29" s="15" t="s">
        <v>26</v>
      </c>
      <c r="L29" s="16">
        <v>0</v>
      </c>
    </row>
    <row r="30" spans="1:17" x14ac:dyDescent="0.3">
      <c r="A30" s="1">
        <v>891</v>
      </c>
      <c r="B30" s="10">
        <v>43480</v>
      </c>
      <c r="C30" s="2" t="s">
        <v>5</v>
      </c>
      <c r="D30" s="3" t="s">
        <v>4</v>
      </c>
      <c r="G30" s="15" t="s">
        <v>26</v>
      </c>
      <c r="H30" s="16">
        <v>0.16666666666666666</v>
      </c>
      <c r="I30" s="16">
        <v>0.83333333333333337</v>
      </c>
      <c r="K30" s="15" t="s">
        <v>27</v>
      </c>
      <c r="L30" s="16">
        <v>-0.8</v>
      </c>
    </row>
    <row r="31" spans="1:17" x14ac:dyDescent="0.3">
      <c r="A31" s="1">
        <v>892</v>
      </c>
      <c r="B31" s="10">
        <v>43480</v>
      </c>
      <c r="C31" s="2" t="s">
        <v>5</v>
      </c>
      <c r="D31" s="3" t="s">
        <v>3</v>
      </c>
      <c r="G31" s="15" t="s">
        <v>27</v>
      </c>
      <c r="H31" s="16">
        <v>0.05</v>
      </c>
      <c r="I31" s="16">
        <v>0.95</v>
      </c>
    </row>
    <row r="32" spans="1:17" x14ac:dyDescent="0.3">
      <c r="A32" s="1">
        <v>896</v>
      </c>
      <c r="B32" s="10">
        <v>43481</v>
      </c>
      <c r="C32" s="2" t="s">
        <v>2</v>
      </c>
      <c r="D32" s="3" t="s">
        <v>4</v>
      </c>
      <c r="G32" s="15" t="s">
        <v>13</v>
      </c>
      <c r="H32" s="16">
        <v>0.17121588089330025</v>
      </c>
      <c r="I32" s="16">
        <v>0.8287841191066998</v>
      </c>
    </row>
    <row r="33" spans="1:4" x14ac:dyDescent="0.3">
      <c r="A33" s="1">
        <v>912</v>
      </c>
      <c r="B33" s="10">
        <v>43481</v>
      </c>
      <c r="C33" s="2" t="s">
        <v>2</v>
      </c>
      <c r="D33" s="3" t="s">
        <v>4</v>
      </c>
    </row>
    <row r="34" spans="1:4" x14ac:dyDescent="0.3">
      <c r="A34" s="1">
        <v>962</v>
      </c>
      <c r="B34" s="10">
        <v>43482</v>
      </c>
      <c r="C34" s="2" t="s">
        <v>2</v>
      </c>
      <c r="D34" s="3" t="s">
        <v>4</v>
      </c>
    </row>
    <row r="35" spans="1:4" x14ac:dyDescent="0.3">
      <c r="A35" s="1">
        <v>974</v>
      </c>
      <c r="B35" s="10">
        <v>43482</v>
      </c>
      <c r="C35" s="2" t="s">
        <v>2</v>
      </c>
      <c r="D35" s="3" t="s">
        <v>4</v>
      </c>
    </row>
    <row r="36" spans="1:4" x14ac:dyDescent="0.3">
      <c r="A36" s="1">
        <v>1017</v>
      </c>
      <c r="B36" s="10">
        <v>43483</v>
      </c>
      <c r="C36" s="2" t="s">
        <v>2</v>
      </c>
      <c r="D36" s="3" t="s">
        <v>4</v>
      </c>
    </row>
    <row r="37" spans="1:4" x14ac:dyDescent="0.3">
      <c r="A37" s="1">
        <v>1045</v>
      </c>
      <c r="B37" s="10">
        <v>43483</v>
      </c>
      <c r="C37" s="2" t="s">
        <v>2</v>
      </c>
      <c r="D37" s="3" t="s">
        <v>4</v>
      </c>
    </row>
    <row r="38" spans="1:4" x14ac:dyDescent="0.3">
      <c r="A38" s="1">
        <v>1077</v>
      </c>
      <c r="B38" s="10">
        <v>43484</v>
      </c>
      <c r="C38" s="2" t="s">
        <v>2</v>
      </c>
      <c r="D38" s="3" t="s">
        <v>4</v>
      </c>
    </row>
    <row r="39" spans="1:4" x14ac:dyDescent="0.3">
      <c r="A39" s="1">
        <v>1131</v>
      </c>
      <c r="B39" s="10">
        <v>43484</v>
      </c>
      <c r="C39" s="2" t="s">
        <v>5</v>
      </c>
      <c r="D39" s="3" t="s">
        <v>4</v>
      </c>
    </row>
    <row r="40" spans="1:4" x14ac:dyDescent="0.3">
      <c r="A40" s="1">
        <v>1132</v>
      </c>
      <c r="B40" s="10">
        <v>43485</v>
      </c>
      <c r="C40" s="2" t="s">
        <v>2</v>
      </c>
      <c r="D40" s="3" t="s">
        <v>4</v>
      </c>
    </row>
    <row r="41" spans="1:4" x14ac:dyDescent="0.3">
      <c r="A41" s="1">
        <v>1137</v>
      </c>
      <c r="B41" s="10">
        <v>43485</v>
      </c>
      <c r="C41" s="2" t="s">
        <v>5</v>
      </c>
      <c r="D41" s="3" t="s">
        <v>4</v>
      </c>
    </row>
    <row r="42" spans="1:4" x14ac:dyDescent="0.3">
      <c r="A42" s="1">
        <v>1192</v>
      </c>
      <c r="B42" s="10">
        <v>43486</v>
      </c>
      <c r="C42" s="2" t="s">
        <v>2</v>
      </c>
      <c r="D42" s="3" t="s">
        <v>3</v>
      </c>
    </row>
    <row r="43" spans="1:4" x14ac:dyDescent="0.3">
      <c r="A43" s="1">
        <v>1203</v>
      </c>
      <c r="B43" s="10">
        <v>43486</v>
      </c>
      <c r="C43" s="2" t="s">
        <v>5</v>
      </c>
      <c r="D43" s="3" t="s">
        <v>4</v>
      </c>
    </row>
    <row r="44" spans="1:4" x14ac:dyDescent="0.3">
      <c r="A44" s="1">
        <v>1204</v>
      </c>
      <c r="B44" s="10">
        <v>43487</v>
      </c>
      <c r="C44" s="2" t="s">
        <v>2</v>
      </c>
      <c r="D44" s="3" t="s">
        <v>4</v>
      </c>
    </row>
    <row r="45" spans="1:4" x14ac:dyDescent="0.3">
      <c r="A45" s="1">
        <v>1226</v>
      </c>
      <c r="B45" s="10">
        <v>43487</v>
      </c>
      <c r="C45" s="2" t="s">
        <v>5</v>
      </c>
      <c r="D45" s="3" t="s">
        <v>4</v>
      </c>
    </row>
    <row r="46" spans="1:4" x14ac:dyDescent="0.3">
      <c r="A46" s="1">
        <v>1228</v>
      </c>
      <c r="B46" s="10">
        <v>43488</v>
      </c>
      <c r="C46" s="2" t="s">
        <v>5</v>
      </c>
      <c r="D46" s="3" t="s">
        <v>3</v>
      </c>
    </row>
    <row r="47" spans="1:4" x14ac:dyDescent="0.3">
      <c r="A47" s="1">
        <v>1230</v>
      </c>
      <c r="B47" s="10">
        <v>43488</v>
      </c>
      <c r="C47" s="2" t="s">
        <v>2</v>
      </c>
      <c r="D47" s="3" t="s">
        <v>4</v>
      </c>
    </row>
    <row r="48" spans="1:4" x14ac:dyDescent="0.3">
      <c r="A48" s="1">
        <v>1245</v>
      </c>
      <c r="B48" s="10">
        <v>43489</v>
      </c>
      <c r="C48" s="2" t="s">
        <v>5</v>
      </c>
      <c r="D48" s="3" t="s">
        <v>4</v>
      </c>
    </row>
    <row r="49" spans="1:4" x14ac:dyDescent="0.3">
      <c r="A49" s="1">
        <v>1269</v>
      </c>
      <c r="B49" s="10">
        <v>43489</v>
      </c>
      <c r="C49" s="2" t="s">
        <v>5</v>
      </c>
      <c r="D49" s="3" t="s">
        <v>4</v>
      </c>
    </row>
    <row r="50" spans="1:4" x14ac:dyDescent="0.3">
      <c r="A50" s="1">
        <v>1292</v>
      </c>
      <c r="B50" s="10">
        <v>43490</v>
      </c>
      <c r="C50" s="2" t="s">
        <v>2</v>
      </c>
      <c r="D50" s="3" t="s">
        <v>3</v>
      </c>
    </row>
    <row r="51" spans="1:4" x14ac:dyDescent="0.3">
      <c r="A51" s="1">
        <v>1302</v>
      </c>
      <c r="B51" s="10">
        <v>43490</v>
      </c>
      <c r="C51" s="2" t="s">
        <v>5</v>
      </c>
      <c r="D51" s="3" t="s">
        <v>3</v>
      </c>
    </row>
    <row r="52" spans="1:4" x14ac:dyDescent="0.3">
      <c r="A52" s="1">
        <v>1337</v>
      </c>
      <c r="B52" s="10">
        <v>43491</v>
      </c>
      <c r="C52" s="2" t="s">
        <v>2</v>
      </c>
      <c r="D52" s="3" t="s">
        <v>4</v>
      </c>
    </row>
    <row r="53" spans="1:4" x14ac:dyDescent="0.3">
      <c r="A53" s="1">
        <v>1414</v>
      </c>
      <c r="B53" s="10">
        <v>43491</v>
      </c>
      <c r="C53" s="2" t="s">
        <v>2</v>
      </c>
      <c r="D53" s="3" t="s">
        <v>4</v>
      </c>
    </row>
    <row r="54" spans="1:4" x14ac:dyDescent="0.3">
      <c r="A54" s="1">
        <v>1456</v>
      </c>
      <c r="B54" s="10">
        <v>43492</v>
      </c>
      <c r="C54" s="2" t="s">
        <v>5</v>
      </c>
      <c r="D54" s="3" t="s">
        <v>4</v>
      </c>
    </row>
    <row r="55" spans="1:4" x14ac:dyDescent="0.3">
      <c r="A55" s="1">
        <v>1481</v>
      </c>
      <c r="B55" s="10">
        <v>43492</v>
      </c>
      <c r="C55" s="2" t="s">
        <v>5</v>
      </c>
      <c r="D55" s="3" t="s">
        <v>4</v>
      </c>
    </row>
    <row r="56" spans="1:4" x14ac:dyDescent="0.3">
      <c r="A56" s="1">
        <v>1518</v>
      </c>
      <c r="B56" s="10">
        <v>43493</v>
      </c>
      <c r="C56" s="2" t="s">
        <v>5</v>
      </c>
      <c r="D56" s="3" t="s">
        <v>4</v>
      </c>
    </row>
    <row r="57" spans="1:4" x14ac:dyDescent="0.3">
      <c r="A57" s="1">
        <v>1536</v>
      </c>
      <c r="B57" s="10">
        <v>43493</v>
      </c>
      <c r="C57" s="2" t="s">
        <v>5</v>
      </c>
      <c r="D57" s="3" t="s">
        <v>4</v>
      </c>
    </row>
    <row r="58" spans="1:4" x14ac:dyDescent="0.3">
      <c r="A58" s="1">
        <v>1551</v>
      </c>
      <c r="B58" s="10">
        <v>43494</v>
      </c>
      <c r="C58" s="2" t="s">
        <v>2</v>
      </c>
      <c r="D58" s="3" t="s">
        <v>4</v>
      </c>
    </row>
    <row r="59" spans="1:4" x14ac:dyDescent="0.3">
      <c r="A59" s="1">
        <v>1562</v>
      </c>
      <c r="B59" s="10">
        <v>43494</v>
      </c>
      <c r="C59" s="2" t="s">
        <v>2</v>
      </c>
      <c r="D59" s="3" t="s">
        <v>4</v>
      </c>
    </row>
    <row r="60" spans="1:4" x14ac:dyDescent="0.3">
      <c r="A60" s="1">
        <v>1590</v>
      </c>
      <c r="B60" s="10">
        <v>43495</v>
      </c>
      <c r="C60" s="2" t="s">
        <v>5</v>
      </c>
      <c r="D60" s="3" t="s">
        <v>4</v>
      </c>
    </row>
    <row r="61" spans="1:4" x14ac:dyDescent="0.3">
      <c r="A61" s="1">
        <v>1592</v>
      </c>
      <c r="B61" s="10">
        <v>43495</v>
      </c>
      <c r="C61" s="2" t="s">
        <v>5</v>
      </c>
      <c r="D61" s="3" t="s">
        <v>4</v>
      </c>
    </row>
    <row r="62" spans="1:4" x14ac:dyDescent="0.3">
      <c r="A62" s="1">
        <v>1617</v>
      </c>
      <c r="B62" s="10">
        <v>43496</v>
      </c>
      <c r="C62" s="2" t="s">
        <v>2</v>
      </c>
      <c r="D62" s="3" t="s">
        <v>4</v>
      </c>
    </row>
    <row r="63" spans="1:4" x14ac:dyDescent="0.3">
      <c r="A63" s="1">
        <v>1628</v>
      </c>
      <c r="B63" s="10">
        <v>43496</v>
      </c>
      <c r="C63" s="2" t="s">
        <v>2</v>
      </c>
      <c r="D63" s="3" t="s">
        <v>4</v>
      </c>
    </row>
    <row r="64" spans="1:4" x14ac:dyDescent="0.3">
      <c r="A64" s="1">
        <v>1632</v>
      </c>
      <c r="B64" s="10">
        <v>43497</v>
      </c>
      <c r="C64" s="2" t="s">
        <v>2</v>
      </c>
      <c r="D64" s="3" t="s">
        <v>3</v>
      </c>
    </row>
    <row r="65" spans="1:4" x14ac:dyDescent="0.3">
      <c r="A65" s="1">
        <v>1680</v>
      </c>
      <c r="B65" s="10">
        <v>43497</v>
      </c>
      <c r="C65" s="2" t="s">
        <v>5</v>
      </c>
      <c r="D65" s="3" t="s">
        <v>4</v>
      </c>
    </row>
    <row r="66" spans="1:4" x14ac:dyDescent="0.3">
      <c r="A66" s="1">
        <v>1684</v>
      </c>
      <c r="B66" s="10">
        <v>43498</v>
      </c>
      <c r="C66" s="2" t="s">
        <v>5</v>
      </c>
      <c r="D66" s="3" t="s">
        <v>4</v>
      </c>
    </row>
    <row r="67" spans="1:4" x14ac:dyDescent="0.3">
      <c r="A67" s="1">
        <v>1687</v>
      </c>
      <c r="B67" s="10">
        <v>43498</v>
      </c>
      <c r="C67" s="2" t="s">
        <v>2</v>
      </c>
      <c r="D67" s="3" t="s">
        <v>4</v>
      </c>
    </row>
    <row r="68" spans="1:4" x14ac:dyDescent="0.3">
      <c r="A68" s="1">
        <v>1698</v>
      </c>
      <c r="B68" s="10">
        <v>43499</v>
      </c>
      <c r="C68" s="2" t="s">
        <v>2</v>
      </c>
      <c r="D68" s="3" t="s">
        <v>4</v>
      </c>
    </row>
    <row r="69" spans="1:4" x14ac:dyDescent="0.3">
      <c r="A69" s="1">
        <v>1748</v>
      </c>
      <c r="B69" s="10">
        <v>43499</v>
      </c>
      <c r="C69" s="2" t="s">
        <v>5</v>
      </c>
      <c r="D69" s="3" t="s">
        <v>4</v>
      </c>
    </row>
    <row r="70" spans="1:4" x14ac:dyDescent="0.3">
      <c r="A70" s="1">
        <v>1767</v>
      </c>
      <c r="B70" s="10">
        <v>43500</v>
      </c>
      <c r="C70" s="2" t="s">
        <v>5</v>
      </c>
      <c r="D70" s="3" t="s">
        <v>4</v>
      </c>
    </row>
    <row r="71" spans="1:4" x14ac:dyDescent="0.3">
      <c r="A71" s="1">
        <v>1803</v>
      </c>
      <c r="B71" s="10">
        <v>43500</v>
      </c>
      <c r="C71" s="2" t="s">
        <v>2</v>
      </c>
      <c r="D71" s="3" t="s">
        <v>3</v>
      </c>
    </row>
    <row r="72" spans="1:4" x14ac:dyDescent="0.3">
      <c r="A72" s="1">
        <v>1828</v>
      </c>
      <c r="B72" s="10">
        <v>43501</v>
      </c>
      <c r="C72" s="2" t="s">
        <v>2</v>
      </c>
      <c r="D72" s="3" t="s">
        <v>4</v>
      </c>
    </row>
    <row r="73" spans="1:4" x14ac:dyDescent="0.3">
      <c r="A73" s="1">
        <v>1840</v>
      </c>
      <c r="B73" s="10">
        <v>43501</v>
      </c>
      <c r="C73" s="2" t="s">
        <v>5</v>
      </c>
      <c r="D73" s="3" t="s">
        <v>4</v>
      </c>
    </row>
    <row r="74" spans="1:4" x14ac:dyDescent="0.3">
      <c r="A74" s="1">
        <v>1842</v>
      </c>
      <c r="B74" s="10">
        <v>43502</v>
      </c>
      <c r="C74" s="2" t="s">
        <v>2</v>
      </c>
      <c r="D74" s="3" t="s">
        <v>3</v>
      </c>
    </row>
    <row r="75" spans="1:4" x14ac:dyDescent="0.3">
      <c r="A75" s="1">
        <v>1868</v>
      </c>
      <c r="B75" s="10">
        <v>43502</v>
      </c>
      <c r="C75" s="2" t="s">
        <v>2</v>
      </c>
      <c r="D75" s="3" t="s">
        <v>3</v>
      </c>
    </row>
    <row r="76" spans="1:4" x14ac:dyDescent="0.3">
      <c r="A76" s="1">
        <v>1870</v>
      </c>
      <c r="B76" s="10">
        <v>43503</v>
      </c>
      <c r="C76" s="2" t="s">
        <v>2</v>
      </c>
      <c r="D76" s="3" t="s">
        <v>3</v>
      </c>
    </row>
    <row r="77" spans="1:4" x14ac:dyDescent="0.3">
      <c r="A77" s="1">
        <v>1877</v>
      </c>
      <c r="B77" s="10">
        <v>43503</v>
      </c>
      <c r="C77" s="2" t="s">
        <v>2</v>
      </c>
      <c r="D77" s="3" t="s">
        <v>4</v>
      </c>
    </row>
    <row r="78" spans="1:4" x14ac:dyDescent="0.3">
      <c r="A78" s="1">
        <v>1903</v>
      </c>
      <c r="B78" s="10">
        <v>43504</v>
      </c>
      <c r="C78" s="2" t="s">
        <v>5</v>
      </c>
      <c r="D78" s="3" t="s">
        <v>4</v>
      </c>
    </row>
    <row r="79" spans="1:4" x14ac:dyDescent="0.3">
      <c r="A79" s="1">
        <v>1954</v>
      </c>
      <c r="B79" s="10">
        <v>43504</v>
      </c>
      <c r="C79" s="2" t="s">
        <v>2</v>
      </c>
      <c r="D79" s="3" t="s">
        <v>4</v>
      </c>
    </row>
    <row r="80" spans="1:4"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582E-D2AD-4A44-BBE9-2EA44D821F4C}">
  <sheetPr>
    <pageSetUpPr fitToPage="1"/>
  </sheetPr>
  <dimension ref="A1"/>
  <sheetViews>
    <sheetView showGridLines="0" showRowColHeaders="0" zoomScale="102" zoomScaleNormal="102" workbookViewId="0">
      <selection activeCell="W11" sqref="W11"/>
    </sheetView>
  </sheetViews>
  <sheetFormatPr defaultRowHeight="14.4" x14ac:dyDescent="0.3"/>
  <cols>
    <col min="21" max="21" width="8.88671875" customWidth="1"/>
  </cols>
  <sheetData/>
  <pageMargins left="0.7" right="0.7" top="0.75" bottom="0.75" header="0.3" footer="0.3"/>
  <pageSetup scale="44"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Mohamed Saleh</cp:lastModifiedBy>
  <dcterms:created xsi:type="dcterms:W3CDTF">2015-06-05T18:17:20Z</dcterms:created>
  <dcterms:modified xsi:type="dcterms:W3CDTF">2026-03-23T21:25:39Z</dcterms:modified>
</cp:coreProperties>
</file>